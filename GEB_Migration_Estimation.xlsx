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ayer 1" sheetId="2" state="visible" r:id="rId4"/>
    <sheet name="Layer 2" sheetId="3" state="visible" r:id="rId5"/>
    <sheet name="Layer 3" sheetId="4" state="visible" r:id="rId6"/>
    <sheet name="Assumptions &amp; Ris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<sst xmlns="http://schemas.openxmlformats.org/spreadsheetml/2006/main" count="574" uniqueCount="425">
  <si>
    <t xml:space="preserve">GEB Platform Upgrade — Migration Effort Estimation</t>
  </si>
  <si>
    <t xml:space="preserve">Wipro Consulting  |  UOB Singapore  |  Confidential  |  April 2026</t>
  </si>
  <si>
    <t xml:space="preserve">#</t>
  </si>
  <si>
    <t xml:space="preserve">Layer / Component</t>
  </si>
  <si>
    <t xml:space="preserve">Mandays (Dev)</t>
  </si>
  <si>
    <t xml:space="preserve">PPT Reference</t>
  </si>
  <si>
    <t xml:space="preserve">Complexity</t>
  </si>
  <si>
    <t xml:space="preserve">Volume</t>
  </si>
  <si>
    <t xml:space="preserve">Notes</t>
  </si>
  <si>
    <t xml:space="preserve">1</t>
  </si>
  <si>
    <t xml:space="preserve">Layer 1 — Core Platform Migration</t>
  </si>
  <si>
    <t xml:space="preserve">1.1</t>
  </si>
  <si>
    <t xml:space="preserve">  Java 8 → Java 17 + javax→jakarta</t>
  </si>
  <si>
    <t xml:space="preserve">Slide 2 — Stack Overview</t>
  </si>
  <si>
    <t xml:space="preserve">Medium</t>
  </si>
  <si>
    <t xml:space="preserve">High</t>
  </si>
  <si>
    <t xml:space="preserve">Namespace changes across codebase</t>
  </si>
  <si>
    <t xml:space="preserve">1.2</t>
  </si>
  <si>
    <t xml:space="preserve">  JBoss EAP 7.3 → EAP 8</t>
  </si>
  <si>
    <t xml:space="preserve">Low</t>
  </si>
  <si>
    <t xml:space="preserve">Runtime + deployment config</t>
  </si>
  <si>
    <t xml:space="preserve">1.3</t>
  </si>
  <si>
    <t xml:space="preserve">  Turbine 2.3.3 → Turbine 7.0</t>
  </si>
  <si>
    <t xml:space="preserve">Slide 3 — Turbine</t>
  </si>
  <si>
    <t xml:space="preserve">Framework redesign — RunData, pipeline, services</t>
  </si>
  <si>
    <t xml:space="preserve">1.4</t>
  </si>
  <si>
    <t xml:space="preserve">  Torque 3.1.1 → Torque 5.1+</t>
  </si>
  <si>
    <t xml:space="preserve">Slide 4 — Torque ORM</t>
  </si>
  <si>
    <t xml:space="preserve">Criteria API, Village, Peer regeneration</t>
  </si>
  <si>
    <t xml:space="preserve">1.5</t>
  </si>
  <si>
    <t xml:space="preserve">  Spring 4.2.9 → Spring 6.x</t>
  </si>
  <si>
    <t xml:space="preserve">Slide 5 — Spring &amp; WSService</t>
  </si>
  <si>
    <t xml:space="preserve">ArgumentResolver, Security, Springfox</t>
  </si>
  <si>
    <t xml:space="preserve">1.6</t>
  </si>
  <si>
    <t xml:space="preserve">  View Layer (Jetspeed/Castor/XSL)</t>
  </si>
  <si>
    <t xml:space="preserve">Slide 6 — View Layer</t>
  </si>
  <si>
    <t xml:space="preserve">Castor→dom4j, base class updates</t>
  </si>
  <si>
    <t xml:space="preserve">1.7</t>
  </si>
  <si>
    <t xml:space="preserve">  JAR Dependencies</t>
  </si>
  <si>
    <t xml:space="preserve">Classification + upgrade/replace</t>
  </si>
  <si>
    <t xml:space="preserve">1.8</t>
  </si>
  <si>
    <t xml:space="preserve">  Build System (Ant → Maven)</t>
  </si>
  <si>
    <t xml:space="preserve">One-time</t>
  </si>
  <si>
    <t xml:space="preserve">Phase 0 prerequisite</t>
  </si>
  <si>
    <t xml:space="preserve">LAYER 1 TOTAL</t>
  </si>
  <si>
    <t xml:space="preserve">2</t>
  </si>
  <si>
    <t xml:space="preserve">Layer 2 — Module-Level Migration</t>
  </si>
  <si>
    <t xml:space="preserve">2.x</t>
  </si>
  <si>
    <t xml:space="preserve">  (To be detailed — see Layer 2 sheet)</t>
  </si>
  <si>
    <t xml:space="preserve">Module-specific</t>
  </si>
  <si>
    <t xml:space="preserve">Functional validation per business module</t>
  </si>
  <si>
    <t xml:space="preserve">LAYER 2 TOTAL</t>
  </si>
  <si>
    <t xml:space="preserve">3</t>
  </si>
  <si>
    <t xml:space="preserve">Layer 3 — Integration &amp; Build</t>
  </si>
  <si>
    <t xml:space="preserve">3.x</t>
  </si>
  <si>
    <t xml:space="preserve">  (To be detailed — see Layer 3 sheet)</t>
  </si>
  <si>
    <t xml:space="preserve">Cross-module, multi-country, deployment</t>
  </si>
  <si>
    <t xml:space="preserve">LAYER 3 TOTAL</t>
  </si>
  <si>
    <t xml:space="preserve">GRAND TOTAL (Dev Mandays)</t>
  </si>
  <si>
    <t xml:space="preserve">Scope: until Build. Testing/buffer by senior management.</t>
  </si>
  <si>
    <t xml:space="preserve">Layer 1 — Core Platform Migration (Development Mandays)</t>
  </si>
  <si>
    <t xml:space="preserve">Maps to PPT: Stack Migration — Component Risk Map and subsequent detail slides</t>
  </si>
  <si>
    <t xml:space="preserve">S.No</t>
  </si>
  <si>
    <t xml:space="preserve">Component</t>
  </si>
  <si>
    <t xml:space="preserve">Task</t>
  </si>
  <si>
    <t xml:space="preserve">Description</t>
  </si>
  <si>
    <t xml:space="preserve">Mandays
(Dev)</t>
  </si>
  <si>
    <t xml:space="preserve">Owner</t>
  </si>
  <si>
    <t xml:space="preserve">Assumptions / Notes</t>
  </si>
  <si>
    <t xml:space="preserve">1. Java 8 → Java 17  +  javax.* → jakarta.* Namespace Migration  [PPT: Slide 2]</t>
  </si>
  <si>
    <t xml:space="preserve">Java / Jakarta EE</t>
  </si>
  <si>
    <t xml:space="preserve">javax.servlet → jakarta.servlet migration</t>
  </si>
  <si>
    <t xml:space="preserve">Update all javax.servlet imports to jakarta.servlet across GEB source code. Includes HttpServletRequest, HttpServletResponse, ServletContext, Filter interfaces.</t>
  </si>
  <si>
    <t xml:space="preserve">Scope depends on file count. Can be partially automated via OpenRewrite after Maven conversion.</t>
  </si>
  <si>
    <t xml:space="preserve">javax.validation → jakarta.validation</t>
  </si>
  <si>
    <t xml:space="preserve">Update Bean Validation API imports. Includes @Valid, @NotNull, custom constraint validators.</t>
  </si>
  <si>
    <t xml:space="preserve">Lower volume than servlet — used primarily in Spring controllers.</t>
  </si>
  <si>
    <t xml:space="preserve">javax.annotation → jakarta.annotation</t>
  </si>
  <si>
    <t xml:space="preserve">Update @PostConstruct, @Resource annotations. NOTE: javax.annotation.Generated stays as-is (Java SE).</t>
  </si>
  <si>
    <t xml:space="preserve">Careful: not all javax.annotation classes migrate — only EE-specific ones.</t>
  </si>
  <si>
    <t xml:space="preserve">Java 8 → 17 API compatibility fixes</t>
  </si>
  <si>
    <t xml:space="preserve">Fix any Java 8 specific API usage deprecated/removed in Java 17. Includes removed packages, reflection access restrictions.</t>
  </si>
  <si>
    <t xml:space="preserve">Minimal expected — most Java 8 code runs on 17. Strong encapsulation may affect reflection-heavy code.</t>
  </si>
  <si>
    <t xml:space="preserve">JDK 17 compilation and runtime testing</t>
  </si>
  <si>
    <t xml:space="preserve">Compile full GEB source against JDK 17, resolve compilation errors, verify runtime behaviour.</t>
  </si>
  <si>
    <t xml:space="preserve">Iterative process — compile, fix, recompile.</t>
  </si>
  <si>
    <t xml:space="preserve">Java + Jakarta Namespace Subtotal</t>
  </si>
  <si>
    <t xml:space="preserve">2. JBoss EAP 7.3 → EAP 8  (Server Runtime)  [PPT: Slide 2]</t>
  </si>
  <si>
    <t xml:space="preserve">JBoss EAP</t>
  </si>
  <si>
    <t xml:space="preserve">EAP 8 server configuration</t>
  </si>
  <si>
    <t xml:space="preserve">Configure EAP 8 standalone/domain mode. Update datasource, connection pool, JMS, logging, security subsystem configs.</t>
  </si>
  <si>
    <t xml:space="preserve">Reference existing EAP 7.3 standalone.xml.</t>
  </si>
  <si>
    <t xml:space="preserve">Deployment descriptor updates</t>
  </si>
  <si>
    <t xml:space="preserve">Update web.xml, jboss-web.xml, jboss-deployment-structure.xml for EAP 8 namespace and module structure.</t>
  </si>
  <si>
    <t xml:space="preserve">Finite set of files.</t>
  </si>
  <si>
    <t xml:space="preserve">EAP 8 deployment and startup validation</t>
  </si>
  <si>
    <t xml:space="preserve">Deploy GEB WAR/EAR on EAP 8, resolve classloading issues, validate startup, verify JNDI and datasource connectivity.</t>
  </si>
  <si>
    <t xml:space="preserve">Iterative — deploy, debug, fix, redeploy.</t>
  </si>
  <si>
    <t xml:space="preserve">JBoss EAP Subtotal</t>
  </si>
  <si>
    <t xml:space="preserve">3. Turbine 2.3.3 → Turbine 7.0  (Framework)  [PPT: Slide 3]</t>
  </si>
  <si>
    <t xml:space="preserve">Turbine</t>
  </si>
  <si>
    <t xml:space="preserve">RunData → PipelineData migration</t>
  </si>
  <si>
    <t xml:space="preserve">Add PipelineData parameter and RunData cast to every Action, Layout, and Portlet class. Business logic after cast unchanged.</t>
  </si>
  <si>
    <t xml:space="preserve">High volume, low complexity per file. One cast line per class.</t>
  </si>
  <si>
    <t xml:space="preserve">Abstract classes → Interfaces adaptation</t>
  </si>
  <si>
    <t xml:space="preserve">Action and Layout changed from abstract classes to interfaces. Inherited helper methods removed — must be sourced independently.</t>
  </si>
  <si>
    <t xml:space="preserve">200+ classes need method signature changes.</t>
  </si>
  <si>
    <t xml:space="preserve">YAAFI container setup + 3 XML configs</t>
  </si>
  <si>
    <t xml:space="preserve">Create containerConfiguration.xml, roleConfiguration.xml, componentConfiguration.xml for Fulcrum/YAAFI.</t>
  </si>
  <si>
    <t xml:space="preserve">One-time config creation. Reference Turbine 7 documentation.</t>
  </si>
  <si>
    <t xml:space="preserve">pipeline.xml creation + GTPExecuteValve</t>
  </si>
  <si>
    <t xml:space="preserve">Create pipeline.xml defining request flow as valves. Write custom GTPExecuteValve (GEB skips Turbine Page mechanism).</t>
  </si>
  <si>
    <t xml:space="preserve">One config file + one custom valve class.</t>
  </si>
  <si>
    <t xml:space="preserve">Service re-registration (17 banking + 10 platform)</t>
  </si>
  <si>
    <t xml:space="preserve">Re-register 27 GEB services in new dual-container model. Config path changes — service code largely unchanged.</t>
  </si>
  <si>
    <t xml:space="preserve">33 services total. 6 core Turbine services auto-handled.</t>
  </si>
  <si>
    <t xml:space="preserve">GTPRunDataService adaptation</t>
  </si>
  <si>
    <t xml:space="preserve">Adapt custom RunDataService for Turbine 7 container lifecycle. Pool assembly of RunData + Parser + CookieParser.</t>
  </si>
  <si>
    <t xml:space="preserve">POC validated this works. Production version needs full context fields.</t>
  </si>
  <si>
    <t xml:space="preserve">turbine.properties → new config structure</t>
  </si>
  <si>
    <t xml:space="preserve">Migrate turbine.properties entries to appropriate Turbine 7 config files. Some properties move to YAAFI configs.</t>
  </si>
  <si>
    <t xml:space="preserve">Reference POC config as baseline.</t>
  </si>
  <si>
    <t xml:space="preserve">Daemon and scheduler migration</t>
  </si>
  <si>
    <t xml:space="preserve">Verify DaemonFactory, GTPSchedulerService, and all daemon configurations work with Turbine 7 lifecycle.</t>
  </si>
  <si>
    <t xml:space="preserve">Daemons are critical for batch processing — FileToGTPInterfaceDaemon, CEWBulkProcessingDaemon etc.</t>
  </si>
  <si>
    <t xml:space="preserve">Turbine Subtotal</t>
  </si>
  <si>
    <t xml:space="preserve">4. Torque 3.1.1 → Torque 5.1+  (ORM / Data Layer)  [PPT: Slide 4]</t>
  </si>
  <si>
    <t xml:space="preserve">Torque</t>
  </si>
  <si>
    <t xml:space="preserve">Criteria.add() → Criteria.where() migration</t>
  </si>
  <si>
    <t xml:space="preserve">Update every ORM query using Criteria.add() to use Criteria.where(). Same logic, same SQL output, method renamed.</t>
  </si>
  <si>
    <t xml:space="preserve">Mechanical find-and-update. Volume to be confirmed from codebase scan.</t>
  </si>
  <si>
    <t xml:space="preserve">Village library removal (9 files)</t>
  </si>
  <si>
    <t xml:space="preserve">Rewrite 9 files that directly import com.workingdogs.village (Record, Value). Replace with Torque 5 native API or direct ResultSet.</t>
  </si>
  <si>
    <t xml:space="preserve">9 files identified. Each needs individual analysis and rewrite.</t>
  </si>
  <si>
    <t xml:space="preserve">Peer class regeneration from schema.xml</t>
  </si>
  <si>
    <t xml:space="preserve">Regenerate all Torque Peer classes using Torque 5.1 generator against schema.xml.</t>
  </si>
  <si>
    <t xml:space="preserve">Requires schema.xml — location under verification (Gokul searching).</t>
  </si>
  <si>
    <t xml:space="preserve">Torque bootstrap via YAAFI</t>
  </si>
  <si>
    <t xml:space="preserve">Replace GTPComponentService (removed in Turbine 7) with YAAFI-based Torque initialisation.</t>
  </si>
  <si>
    <t xml:space="preserve">Configuration change — reference POC YAAFI setup.</t>
  </si>
  <si>
    <t xml:space="preserve">Torque 5.1 ORM validation on core tables</t>
  </si>
  <si>
    <t xml:space="preserve">Execute actual Criteria queries on GTPCompany, User, Role, Permission, Transaction tables. Verify CRUD operations.</t>
  </si>
  <si>
    <t xml:space="preserve">Core authorization tables — must validate before any module testing.</t>
  </si>
  <si>
    <t xml:space="preserve">Manager/cache layer validation</t>
  </si>
  <si>
    <t xml:space="preserve">Verify AbstractBaseManager and caching layer works with Torque 5.x. Permission caching critical for performance.</t>
  </si>
  <si>
    <t xml:space="preserve">Under verification — Torque 5 redesigned manager layer.</t>
  </si>
  <si>
    <t xml:space="preserve">Torque Subtotal</t>
  </si>
  <si>
    <t xml:space="preserve">5. Spring 4.2.9 → Spring 6.x  +  WSService  (REST Layer)  [PPT: Slide 5]</t>
  </si>
  <si>
    <t xml:space="preserve">Spring</t>
  </si>
  <si>
    <t xml:space="preserve">CustomControllerArgumentResolver rewrite</t>
  </si>
  <si>
    <t xml:space="preserve">Rewrite the class that bridges Spring MVC and Turbine. Interface changes from javax.servlet to jakarta.servlet. Every controller depends on this.</t>
  </si>
  <si>
    <t xml:space="preserve">Strategic fix point. Single class but high impact — must be done first.</t>
  </si>
  <si>
    <t xml:space="preserve">Spring controller javax→jakarta migration</t>
  </si>
  <si>
    <t xml:space="preserve">Update all javax.servlet imports in Spring controllers to jakarta.servlet. Update ContextUtils.createRundata() calls.</t>
  </si>
  <si>
    <t xml:space="preserve">Per-controller work. Volume depends on controller count.</t>
  </si>
  <si>
    <t xml:space="preserve">Springfox → springdoc-openapi replacement</t>
  </si>
  <si>
    <t xml:space="preserve">Replace all Springfox annotations: @Api→@Tag, @ApiOperation→@Operation, @ApiParam→@Parameter. Configure springdoc.</t>
  </si>
  <si>
    <t xml:space="preserve">Mechanical annotation changes. No business logic impact.</t>
  </si>
  <si>
    <t xml:space="preserve">Spring Security 6 reconfiguration</t>
  </si>
  <si>
    <t xml:space="preserve">Rewrite FilterChainProxy configuration. Spring Security 6 filter chain API is completely different from 4.x.</t>
  </si>
  <si>
    <t xml:space="preserve">Security-critical — must be tested thoroughly.</t>
  </si>
  <si>
    <t xml:space="preserve">webservice-servlet.xml update</t>
  </si>
  <si>
    <t xml:space="preserve">Update Spring dispatcher config for Spring 6 namespace, bean definitions, argument resolvers, validation config.</t>
  </si>
  <si>
    <t xml:space="preserve">Single config file — but central to all WSService routing.</t>
  </si>
  <si>
    <t xml:space="preserve">Update validation annotations and custom validators used in Spring controllers for GTP_PARAM_DATA interaction.</t>
  </si>
  <si>
    <t xml:space="preserve">May overlap with Java/Jakarta task — avoid double counting.</t>
  </si>
  <si>
    <t xml:space="preserve">Spring 6 JAR set replacement (~22 JARs)</t>
  </si>
  <si>
    <t xml:space="preserve">Replace entire Spring 4.x JAR set with Spring 6.x equivalents. No partial upgrade possible.</t>
  </si>
  <si>
    <t xml:space="preserve">spring-core, spring-web, spring-webmvc, spring-security, etc.</t>
  </si>
  <si>
    <t xml:space="preserve">Spring 6 integration testing</t>
  </si>
  <si>
    <t xml:space="preserve">Validate all WSService REST endpoints function correctly. Test IDB→GEB request flow end-to-end.</t>
  </si>
  <si>
    <t xml:space="preserve">Requires IDB test environment connectivity.</t>
  </si>
  <si>
    <t xml:space="preserve">Spring Subtotal</t>
  </si>
  <si>
    <t xml:space="preserve">6. View Layer  (Jetspeed / Castor / XSL / ECS)  [PPT: Slide 6]</t>
  </si>
  <si>
    <t xml:space="preserve">View Layer</t>
  </si>
  <si>
    <t xml:space="preserve">Castor XML → dom4j parser replacement</t>
  </si>
  <si>
    <t xml:space="preserve">Replace Castor XML parser for PSML files with dom4j. Castor uses reflection blocked by Java 17 strong encapsulation.</t>
  </si>
  <si>
    <t xml:space="preserve">Page definitions unchanged — only parser replacement.</t>
  </si>
  <si>
    <t xml:space="preserve">Base class chain migration (4 classes)</t>
  </si>
  <si>
    <t xml:space="preserve">Update ActionPortlet → GTPRootPortlet → AbstractPortlet → Portlet chain for Turbine 7 interface changes.</t>
  </si>
  <si>
    <t xml:space="preserve">4 base classes. Changes cascade to all portlets via inheritance.</t>
  </si>
  <si>
    <t xml:space="preserve">Deprecated method resolution in base chain</t>
  </si>
  <si>
    <t xml:space="preserve">Identify and resolve deprecated methods and interface changes at each level of the portlet base chain.</t>
  </si>
  <si>
    <t xml:space="preserve">Careful analysis required — affects all portlets.</t>
  </si>
  <si>
    <t xml:space="preserve">Xalan 2.7.2 → 2.7.3 upgrade</t>
  </si>
  <si>
    <t xml:space="preserve">Security patch for CVE-2022-34169. No API change. Verify all XSL stylesheets render correctly.</t>
  </si>
  <si>
    <t xml:space="preserve">Drop-in JAR replacement + XSL regression validation.</t>
  </si>
  <si>
    <t xml:space="preserve">PSML file validation</t>
  </si>
  <si>
    <t xml:space="preserve">Verify all PSML page definitions parse correctly with new dom4j parser. Validate portlet placement on pages.</t>
  </si>
  <si>
    <t xml:space="preserve">Functional validation — all portal pages must render correctly.</t>
  </si>
  <si>
    <t xml:space="preserve">Velocity template validation</t>
  </si>
  <si>
    <t xml:space="preserve">Verify TopBIBP.vm, BottomBIBP.vm, and other Velocity templates serve correctly on Turbine 7.</t>
  </si>
  <si>
    <t xml:space="preserve">Already confirmed Java 17 compatible — validation only.</t>
  </si>
  <si>
    <t xml:space="preserve">View Layer Subtotal</t>
  </si>
  <si>
    <t xml:space="preserve">7. JAR Dependencies  (Classification + Migration)  [PPT: Slide 2]</t>
  </si>
  <si>
    <t xml:space="preserve">JARs</t>
  </si>
  <si>
    <t xml:space="preserve">JAR javax classification (Jakarta EE vs Java SE)</t>
  </si>
  <si>
    <t xml:space="preserve">Classify all JARs: which use Jakarta EE javax (must change) vs Java SE javax (safe). Extract and scan .class files.</t>
  </si>
  <si>
    <t xml:space="preserve">Critical first activity — determines true migration scope.</t>
  </si>
  <si>
    <t xml:space="preserve">JAR upgrade — Jakarta EE compatible versions</t>
  </si>
  <si>
    <t xml:space="preserve">For JARs with Jakarta EE javax: find and replace with Jakarta-compatible versions from Maven Central.</t>
  </si>
  <si>
    <t xml:space="preserve">Most open-source JARs have Jakarta versions available (e.g., ESAPI 2.7.0).</t>
  </si>
  <si>
    <t xml:space="preserve">Finastra internal JAR recompilation</t>
  </si>
  <si>
    <t xml:space="preserve">Locate source for Finastra internal JARs. Recompile against Java 17 + Jakarta EE.</t>
  </si>
  <si>
    <t xml:space="preserve">Requires source access from Finastra. Vendor engagement dependency.</t>
  </si>
  <si>
    <t xml:space="preserve">UOB/Bank internal JAR recompilation</t>
  </si>
  <si>
    <t xml:space="preserve">Locate source for UOB-customised JARs. Recompile against target stack.</t>
  </si>
  <si>
    <t xml:space="preserve">Source should be available within bank.</t>
  </si>
  <si>
    <t xml:space="preserve">log4j 1.x → log4j2 migration</t>
  </si>
  <si>
    <t xml:space="preserve">Replace log4j 1.2.17 (active CVE) with log4j2. Update log4j configuration and API calls.</t>
  </si>
  <si>
    <t xml:space="preserve">Security-critical — should be addressed independent of migration timeline.</t>
  </si>
  <si>
    <t xml:space="preserve">JAR compatibility testing</t>
  </si>
  <si>
    <t xml:space="preserve">Test all replaced/upgraded JARs in integrated environment. Verify no runtime ClassNotFoundException or NoSuchMethodError.</t>
  </si>
  <si>
    <t xml:space="preserve">Iterative — test, fix, retest.</t>
  </si>
  <si>
    <t xml:space="preserve">JAR Dependencies Subtotal</t>
  </si>
  <si>
    <t xml:space="preserve">8. Build System  (Ant → Maven)  [PPT: Slide 2]</t>
  </si>
  <si>
    <t xml:space="preserve">Build</t>
  </si>
  <si>
    <t xml:space="preserve">Ant → Maven project structure conversion</t>
  </si>
  <si>
    <t xml:space="preserve">Convert GEB build from Apache Ant (build.xml) to Maven (pom.xml). Define module structure, dependencies, profiles.</t>
  </si>
  <si>
    <t xml:space="preserve">Phase 0 prerequisite. OpenRewrite javax→jakarta automation requires Maven.</t>
  </si>
  <si>
    <t xml:space="preserve">Maven dependency management</t>
  </si>
  <si>
    <t xml:space="preserve">Define all GEB dependencies in pom.xml with correct Jakarta EE compatible versions.</t>
  </si>
  <si>
    <t xml:space="preserve">Replaces manual JAR management in WEB-INF/lib.</t>
  </si>
  <si>
    <t xml:space="preserve">CI/CD pipeline update (Jenkins)</t>
  </si>
  <si>
    <t xml:space="preserve">Update Jenkins build pipeline for Maven. Configure build profiles for target environment.</t>
  </si>
  <si>
    <t xml:space="preserve">Jenkins stays — only build command changes from Ant to Maven.</t>
  </si>
  <si>
    <t xml:space="preserve">WAR/EAR packaging for EAP 8</t>
  </si>
  <si>
    <t xml:space="preserve">Configure Maven build to produce correct WAR/EAR packaging for JBoss EAP 8 deployment.</t>
  </si>
  <si>
    <t xml:space="preserve">Deployment descriptor structure may differ from EAP 7.3.</t>
  </si>
  <si>
    <t xml:space="preserve">Build System Subtotal</t>
  </si>
  <si>
    <t xml:space="preserve">LAYER 1 — CORE PLATFORM MIGRATION TOTAL</t>
  </si>
  <si>
    <t xml:space="preserve">Layer 2 — Module-Level Migration &amp; Functional Validation (Development Mandays)</t>
  </si>
  <si>
    <t xml:space="preserve">Each business module requires developer-level migration validation — not just compilation, but end-to-end functional flow</t>
  </si>
  <si>
    <t xml:space="preserve">THIS IS WHERE 2 YEARS OF GEB PRODUCTION KNOWLEDGE IS REQUIRED — module flows, country variations, daemon behaviour, external integrations</t>
  </si>
  <si>
    <t xml:space="preserve">Module</t>
  </si>
  <si>
    <t xml:space="preserve">Description / Scope</t>
  </si>
  <si>
    <t xml:space="preserve">Assumptions / Dependencies</t>
  </si>
  <si>
    <t xml:space="preserve">1. Fund Transfer (TT / CBPR+)</t>
  </si>
  <si>
    <t xml:space="preserve">Complexity: Complex — multi-step approval, bulk processing, CEW→DMP→GEB flow, status callbacks, 6-country variations</t>
  </si>
  <si>
    <t xml:space="preserve">Fund Transfer</t>
  </si>
  <si>
    <t xml:space="preserve">Portlet-specific code migration (screens, actions)</t>
  </si>
  <si>
    <t xml:space="preserve">Bulk file upload flow validation (IDB→CEW→DMP→GEB→CEW callback)</t>
  </si>
  <si>
    <t xml:space="preserve">CEWBulkProcessingDaemon validation</t>
  </si>
  <si>
    <t xml:space="preserve">DMP interface validation (SE_HFile processing)</t>
  </si>
  <si>
    <t xml:space="preserve">Status callback to CEW validation</t>
  </si>
  <si>
    <t xml:space="preserve">Country-specific TT configuration (SG, MY, VN, CN, HK, TH)</t>
  </si>
  <si>
    <t xml:space="preserve">ROS/Core Banking ACK callback validation</t>
  </si>
  <si>
    <t xml:space="preserve">Fund Transfer Subtotal</t>
  </si>
  <si>
    <t xml:space="preserve">2. Fund Transfer (BAU / Payroll)</t>
  </si>
  <si>
    <t xml:space="preserve">Complexity: Complex — different daemon, no CEW interaction, DMP S-File flow</t>
  </si>
  <si>
    <t xml:space="preserve">2.1</t>
  </si>
  <si>
    <t xml:space="preserve">Portlet-specific code migration</t>
  </si>
  <si>
    <t xml:space="preserve">2.2</t>
  </si>
  <si>
    <t xml:space="preserve">FileToGTPInterfaceDaemon validation</t>
  </si>
  <si>
    <t xml:space="preserve">2.3</t>
  </si>
  <si>
    <t xml:space="preserve">BAU flow: IDB→GEB→DMP(S-File)→GEB(SE_HFile) validation</t>
  </si>
  <si>
    <t xml:space="preserve">2.4</t>
  </si>
  <si>
    <t xml:space="preserve">prod_status_code handling validation</t>
  </si>
  <si>
    <t xml:space="preserve">2.5</t>
  </si>
  <si>
    <t xml:space="preserve">Country-specific BAU configuration</t>
  </si>
  <si>
    <t xml:space="preserve">3. Account Statement</t>
  </si>
  <si>
    <t xml:space="preserve">Complexity: Complex — batch processing, core banking integration, Torque-heavy</t>
  </si>
  <si>
    <t xml:space="preserve">3.1</t>
  </si>
  <si>
    <t xml:space="preserve">Account Statement</t>
  </si>
  <si>
    <t xml:space="preserve">3.2</t>
  </si>
  <si>
    <t xml:space="preserve">Account Statement batch daemon validation</t>
  </si>
  <si>
    <t xml:space="preserve">3.3</t>
  </si>
  <si>
    <t xml:space="preserve">Core banking data import/export validation</t>
  </si>
  <si>
    <t xml:space="preserve">3.4</t>
  </si>
  <si>
    <t xml:space="preserve">Torque-based object lifecycle (header→lines→transactions)</t>
  </si>
  <si>
    <t xml:space="preserve">3.5</t>
  </si>
  <si>
    <t xml:space="preserve">Unicode/encoding handling (0x1A character issue previously found)</t>
  </si>
  <si>
    <t xml:space="preserve">3.6</t>
  </si>
  <si>
    <t xml:space="preserve">Country-specific statement formats</t>
  </si>
  <si>
    <t xml:space="preserve">Account Statement Subtotal</t>
  </si>
  <si>
    <t xml:space="preserve">4. Letter of Credit (LC)</t>
  </si>
  <si>
    <t xml:space="preserve">Complexity: Complex — trade finance, EAI integration, multi-country</t>
  </si>
  <si>
    <t xml:space="preserve">4.1</t>
  </si>
  <si>
    <t xml:space="preserve">Letter of Credit</t>
  </si>
  <si>
    <t xml:space="preserve">4.2</t>
  </si>
  <si>
    <t xml:space="preserve">LC creation/amendment/advising flow validation</t>
  </si>
  <si>
    <t xml:space="preserve">4.3</t>
  </si>
  <si>
    <t xml:space="preserve">EAI integration validation</t>
  </si>
  <si>
    <t xml:space="preserve">4.4</t>
  </si>
  <si>
    <t xml:space="preserve">Country-specific LC configuration</t>
  </si>
  <si>
    <t xml:space="preserve">4.5</t>
  </si>
  <si>
    <t xml:space="preserve">XSL template rendering validation</t>
  </si>
  <si>
    <t xml:space="preserve">Letter of Credit Subtotal</t>
  </si>
  <si>
    <t xml:space="preserve">5. Bank Guarantee (BG)</t>
  </si>
  <si>
    <t xml:space="preserve">Complexity: Medium-Complex — trade finance</t>
  </si>
  <si>
    <t xml:space="preserve">5.1</t>
  </si>
  <si>
    <t xml:space="preserve">Bank Guarantee</t>
  </si>
  <si>
    <t xml:space="preserve">5.2</t>
  </si>
  <si>
    <t xml:space="preserve">BG issuance/amendment flow validation</t>
  </si>
  <si>
    <t xml:space="preserve">5.3</t>
  </si>
  <si>
    <t xml:space="preserve">5.4</t>
  </si>
  <si>
    <t xml:space="preserve">Country-specific BG configuration</t>
  </si>
  <si>
    <t xml:space="preserve">Bank Guarantee Subtotal</t>
  </si>
  <si>
    <t xml:space="preserve">6. Trust Receipt</t>
  </si>
  <si>
    <t xml:space="preserve">Complexity: Medium — trade finance</t>
  </si>
  <si>
    <t xml:space="preserve">6.1</t>
  </si>
  <si>
    <t xml:space="preserve">Trust Receipt</t>
  </si>
  <si>
    <t xml:space="preserve">6.2</t>
  </si>
  <si>
    <t xml:space="preserve">Trust Receipt flow validation</t>
  </si>
  <si>
    <t xml:space="preserve">6.3</t>
  </si>
  <si>
    <t xml:space="preserve">Integration with LC/BG modules</t>
  </si>
  <si>
    <t xml:space="preserve">Trust Receipt Subtotal</t>
  </si>
  <si>
    <t xml:space="preserve">7. Organization Module (User/Role/Permission)</t>
  </si>
  <si>
    <t xml:space="preserve">Complexity: Critical — Torque-heavy, caching, authorization model</t>
  </si>
  <si>
    <t xml:space="preserve">7.1</t>
  </si>
  <si>
    <t xml:space="preserve">Organization Module</t>
  </si>
  <si>
    <t xml:space="preserve">7.2</t>
  </si>
  <si>
    <t xml:space="preserve">User/Company/Role/Permission CRUD validation</t>
  </si>
  <si>
    <t xml:space="preserve">7.3</t>
  </si>
  <si>
    <t xml:space="preserve">Torque Manager caching validation (permission cache)</t>
  </si>
  <si>
    <t xml:space="preserve">7.4</t>
  </si>
  <si>
    <t xml:space="preserve">ACL (Access Control List) validation</t>
  </si>
  <si>
    <t xml:space="preserve">7.5</t>
  </si>
  <si>
    <t xml:space="preserve">Menu visibility based on role</t>
  </si>
  <si>
    <t xml:space="preserve">7.6</t>
  </si>
  <si>
    <t xml:space="preserve">Table-level access permission validation</t>
  </si>
  <si>
    <t xml:space="preserve">7.7</t>
  </si>
  <si>
    <t xml:space="preserve">Multi-country role configuration</t>
  </si>
  <si>
    <t xml:space="preserve">Organization Module Subtotal</t>
  </si>
  <si>
    <t xml:space="preserve">8. Interops</t>
  </si>
  <si>
    <t xml:space="preserve">Complexity: Medium — external file processing</t>
  </si>
  <si>
    <t xml:space="preserve">8.1</t>
  </si>
  <si>
    <t xml:space="preserve">Interops</t>
  </si>
  <si>
    <t xml:space="preserve">8.2</t>
  </si>
  <si>
    <t xml:space="preserve">Interops file upload/download flow validation</t>
  </si>
  <si>
    <t xml:space="preserve">8.3</t>
  </si>
  <si>
    <t xml:space="preserve">GEB↔DMP interaction validation</t>
  </si>
  <si>
    <t xml:space="preserve">8.4</t>
  </si>
  <si>
    <t xml:space="preserve">IDB display validation</t>
  </si>
  <si>
    <t xml:space="preserve">Interops Subtotal</t>
  </si>
  <si>
    <t xml:space="preserve">9. Trade Middle Office</t>
  </si>
  <si>
    <t xml:space="preserve">Complexity: Medium — reporting and monitoring</t>
  </si>
  <si>
    <t xml:space="preserve">9.1</t>
  </si>
  <si>
    <t xml:space="preserve">Trade Middle Office</t>
  </si>
  <si>
    <t xml:space="preserve">9.2</t>
  </si>
  <si>
    <t xml:space="preserve">Middle office screen validation</t>
  </si>
  <si>
    <t xml:space="preserve">9.3</t>
  </si>
  <si>
    <t xml:space="preserve">Report generation validation</t>
  </si>
  <si>
    <t xml:space="preserve">Trade Middle Office Subtotal</t>
  </si>
  <si>
    <t xml:space="preserve">10. Bank Administration</t>
  </si>
  <si>
    <t xml:space="preserve">Complexity: Medium — system configuration</t>
  </si>
  <si>
    <t xml:space="preserve">10.1</t>
  </si>
  <si>
    <t xml:space="preserve">Bank Administration</t>
  </si>
  <si>
    <t xml:space="preserve">10.2</t>
  </si>
  <si>
    <t xml:space="preserve">Admin configuration screens validation</t>
  </si>
  <si>
    <t xml:space="preserve">10.3</t>
  </si>
  <si>
    <t xml:space="preserve">System parameter management</t>
  </si>
  <si>
    <t xml:space="preserve">10.4</t>
  </si>
  <si>
    <t xml:space="preserve">Country/branch configuration validation</t>
  </si>
  <si>
    <t xml:space="preserve">Bank Administration Subtotal</t>
  </si>
  <si>
    <t xml:space="preserve">LAYER 2 — MODULE-LEVEL MIGRATION TOTAL</t>
  </si>
  <si>
    <t xml:space="preserve">Layer 3 — Integration, Multi-Country &amp; Build Validation (Development Mandays)</t>
  </si>
  <si>
    <t xml:space="preserve">Integration</t>
  </si>
  <si>
    <t xml:space="preserve">Cross-module flow validation</t>
  </si>
  <si>
    <t xml:space="preserve">Validate flows that span multiple modules — e.g., Bulk File Upload touches FT, DMP, CEW, and IDB</t>
  </si>
  <si>
    <t xml:space="preserve">Requires all individual modules to be migrated first</t>
  </si>
  <si>
    <t xml:space="preserve">EAI connectivity validation</t>
  </si>
  <si>
    <t xml:space="preserve">Verify GEB→EAI integration works on new stack. Message formats, connection parameters, error handling.</t>
  </si>
  <si>
    <t xml:space="preserve">EAI system unchanged — GEB side needs validation</t>
  </si>
  <si>
    <t xml:space="preserve">DMP interface validation</t>
  </si>
  <si>
    <t xml:space="preserve">Verify all DMP↔GEB interfaces — S-File, SE_HFile, prod_status_code handling, rejection flows.</t>
  </si>
  <si>
    <t xml:space="preserve">Critical — known production issues in this interface</t>
  </si>
  <si>
    <t xml:space="preserve">IDB↔WSService endpoint validation</t>
  </si>
  <si>
    <t xml:space="preserve">Verify all IDB→GEB REST API calls work end-to-end on new stack.</t>
  </si>
  <si>
    <t xml:space="preserve">Depends on Spring 6 migration completion</t>
  </si>
  <si>
    <t xml:space="preserve">ROS/Core Banking callback validation</t>
  </si>
  <si>
    <t xml:space="preserve">Verify ACK processing from ROS, status code reconciliation, BK vs FT level status.</t>
  </si>
  <si>
    <t xml:space="preserve">Known fragile area — BK rejection vs FT status mismatch</t>
  </si>
  <si>
    <t xml:space="preserve">Multi-Country</t>
  </si>
  <si>
    <t xml:space="preserve">Singapore (SG) configuration validation</t>
  </si>
  <si>
    <t xml:space="preserve">Validate SG-specific configs, templates, parameters, country-specific flows.</t>
  </si>
  <si>
    <t xml:space="preserve">Primary country — validate first</t>
  </si>
  <si>
    <t xml:space="preserve">Malaysia (MY) configuration validation</t>
  </si>
  <si>
    <t xml:space="preserve">Validate MY-specific configs, encoding, templates, regulatory requirements.</t>
  </si>
  <si>
    <t xml:space="preserve">Vietnam (VN) configuration validation</t>
  </si>
  <si>
    <t xml:space="preserve">Validate VN-specific configs, encoding (UTF-8 handling critical), templates.</t>
  </si>
  <si>
    <t xml:space="preserve">Encoding issues previously identified</t>
  </si>
  <si>
    <t xml:space="preserve">China (CN) configuration validation</t>
  </si>
  <si>
    <t xml:space="preserve">Validate CN-specific configs, encoding, templates.</t>
  </si>
  <si>
    <t xml:space="preserve">Hong Kong (HK) configuration validation</t>
  </si>
  <si>
    <t xml:space="preserve">Validate HK-specific configs, templates.</t>
  </si>
  <si>
    <t xml:space="preserve">Thailand (TH) configuration validation</t>
  </si>
  <si>
    <t xml:space="preserve">Validate TH-specific configs, encoding, templates.</t>
  </si>
  <si>
    <t xml:space="preserve">Full build packaging (WAR/EAR)</t>
  </si>
  <si>
    <t xml:space="preserve">Complete Maven build producing deployable WAR/EAR for EAP 8. All dependencies resolved.</t>
  </si>
  <si>
    <t xml:space="preserve">Final packaging after all components migrated</t>
  </si>
  <si>
    <t xml:space="preserve">Deployment to SIT environment</t>
  </si>
  <si>
    <t xml:space="preserve">Deploy migrated GEB to SIT environment on EAP 8 + JDK 17. Resolve deployment issues.</t>
  </si>
  <si>
    <t xml:space="preserve">SIT environment must be provisioned with target stack</t>
  </si>
  <si>
    <t xml:space="preserve">Daemon startup and scheduling validation</t>
  </si>
  <si>
    <t xml:space="preserve">Verify all GEB daemons start correctly, scheduling works, no race conditions.</t>
  </si>
  <si>
    <t xml:space="preserve">FileToGTPInterfaceDaemon, CEWBulkProcessingDaemon, Account Statement daemon etc.</t>
  </si>
  <si>
    <t xml:space="preserve">Static resource and MIME type validation</t>
  </si>
  <si>
    <t xml:space="preserve">Verify all file types (.xsl, .psml, .vm, .properties, etc.) served correctly on EAP 8.</t>
  </si>
  <si>
    <t xml:space="preserve">MIME mappings and static resource servlet config may differ</t>
  </si>
  <si>
    <t xml:space="preserve">Smoke test — critical path validation</t>
  </si>
  <si>
    <t xml:space="preserve">Execute critical business paths end-to-end: Login → FT creation → Approval → Release → Statement.</t>
  </si>
  <si>
    <t xml:space="preserve">Final developer validation before handoff for formal testing</t>
  </si>
  <si>
    <t xml:space="preserve">LAYER 3 — INTEGRATION &amp; BUILD TOTAL</t>
  </si>
  <si>
    <t xml:space="preserve">Assumptions, Dependencies &amp; Risks</t>
  </si>
  <si>
    <t xml:space="preserve">Type</t>
  </si>
  <si>
    <t xml:space="preserve">Mitigation / Notes</t>
  </si>
  <si>
    <t xml:space="preserve">Assumption</t>
  </si>
  <si>
    <t xml:space="preserve">Scope: Estimation covers development effort until Build. Unit testing, SIT, UAT, buffer, and project management are handled separately by senior management.</t>
  </si>
  <si>
    <t xml:space="preserve">Environment: SIT environment with JBoss EAP 8 + JDK 17 will be available for migration validation.</t>
  </si>
  <si>
    <t xml:space="preserve">Source Access: Full GEB source code access is available. Finastra internal JAR source will be obtained through vendor engagement.</t>
  </si>
  <si>
    <t xml:space="preserve">POC Baseline: Mini-GEB POC on Turbine 7 / Java 17 / Tomcat 10 serves as the validated baseline for platform migration approach.</t>
  </si>
  <si>
    <t xml:space="preserve">schema.xml: Torque schema.xml file will be located or reverse-engineered from existing Peer classes and database DDL.</t>
  </si>
  <si>
    <t xml:space="preserve">No Functional Change: Migration is a platform upgrade only — no business logic changes, no new features, no functional enhancements.</t>
  </si>
  <si>
    <t xml:space="preserve">JAR Classification: Final JAR migration effort depends on classification outcome. Significant portion expected to be Java SE javax (safe).</t>
  </si>
  <si>
    <t xml:space="preserve">Dependency</t>
  </si>
  <si>
    <t xml:space="preserve">I-Sprint: Jakarta EE compatible I-Sprint JAR required from vendor. Timeline not in Wipro control. POTENTIAL PROGRAMME BLOCKER.</t>
  </si>
  <si>
    <t xml:space="preserve">Finastra: Java 17 compatible binaries or source code required from Finastra for internal JARs.</t>
  </si>
  <si>
    <t xml:space="preserve">Bank: Confirmation needed: expected DMP behaviour when prod_status_code = 01. ROS ACK contract clarification.</t>
  </si>
  <si>
    <t xml:space="preserve">Risk</t>
  </si>
  <si>
    <t xml:space="preserve">I-Sprint Blocker: If I-Sprint cannot deliver Jakarta EE JAR in time, token authentication will not function on upgraded stack.</t>
  </si>
  <si>
    <t xml:space="preserve">Finastra Source: If Finastra source is unavailable, internal JARs cannot be recompiled. Requires alternative approach or vendor escalation.</t>
  </si>
  <si>
    <t xml:space="preserve">GTPParameterParser: Parser initialisation on Fulcrum container not yet resolved. Under active investigation — may require alternative approach.</t>
  </si>
  <si>
    <t xml:space="preserve">Torque Manager: AbstractBaseManager compatibility with Torque 5.x unconfirmed. Permission caching layer may need rework.</t>
  </si>
  <si>
    <t xml:space="preserve">Country Variations: Country-specific configurations (especially encoding for VN, CN, TH) may surface issues only during multi-country testing.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</si>
</sst>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9"/>
      <color rgb="FF88888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D2B4E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1"/>
      <color rgb="FF0D2B4E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i val="true"/>
      <sz val="9"/>
      <color rgb="FFB91C1C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2B4E"/>
        <bgColor rgb="FF1A3A5C"/>
      </patternFill>
    </fill>
    <fill>
      <patternFill patternType="solid">
        <fgColor rgb="FF0072BC"/>
        <bgColor rgb="FF008080"/>
      </patternFill>
    </fill>
    <fill>
      <patternFill patternType="solid">
        <fgColor rgb="FFF4F6F9"/>
        <bgColor rgb="FFF0FAF4"/>
      </patternFill>
    </fill>
    <fill>
      <patternFill patternType="solid">
        <fgColor rgb="FFD0DCE8"/>
        <bgColor rgb="FFCCCCCC"/>
      </patternFill>
    </fill>
    <fill>
      <patternFill patternType="solid">
        <fgColor rgb="FF1A3A5C"/>
        <bgColor rgb="FF0D2B4E"/>
      </patternFill>
    </fill>
    <fill>
      <patternFill patternType="solid">
        <fgColor rgb="FFFFFFFF"/>
        <bgColor rgb="FFFFFBEB"/>
      </patternFill>
    </fill>
    <fill>
      <patternFill patternType="solid">
        <fgColor rgb="FFF0FAF4"/>
        <bgColor rgb="FFF4F6F9"/>
      </patternFill>
    </fill>
    <fill>
      <patternFill patternType="solid">
        <fgColor rgb="FFFFFBEB"/>
        <bgColor rgb="FFFFF5F5"/>
      </patternFill>
    </fill>
    <fill>
      <patternFill patternType="solid">
        <fgColor rgb="FFFFF5F5"/>
        <bgColor rgb="FFFFFB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3E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BEB"/>
      <rgbColor rgb="FFF0FAF4"/>
      <rgbColor rgb="FF660066"/>
      <rgbColor rgb="FFFF8080"/>
      <rgbColor rgb="FF0072BC"/>
      <rgbColor rgb="FFD0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66666"/>
      <rgbColor rgb="FF969696"/>
      <rgbColor rgb="FF0D2B4E"/>
      <rgbColor rgb="FF339966"/>
      <rgbColor rgb="FF003300"/>
      <rgbColor rgb="FF333300"/>
      <rgbColor rgb="FFB91C1C"/>
      <rgbColor rgb="FF993366"/>
      <rgbColor rgb="FF1A3A5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4E"/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6" min="3" style="0" width="18"/>
    <col collapsed="false" customWidth="true" hidden="false" outlineLevel="0" max="7" min="7" style="0" width="25"/>
  </cols>
  <sheetData>
    <row r="1" customFormat="false" ht="18.6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4"/>
      <c r="D5" s="4"/>
      <c r="E5" s="4"/>
      <c r="F5" s="4"/>
      <c r="G5" s="5"/>
    </row>
    <row r="6" customFormat="false" ht="23.85" hidden="false" customHeight="false" outlineLevel="0" collapsed="false">
      <c r="A6" s="6" t="s">
        <v>11</v>
      </c>
      <c r="B6" s="7" t="s">
        <v>12</v>
      </c>
      <c r="C6" s="6" t="n">
        <f aca="false">'Layer 1'!E14</f>
        <v>0</v>
      </c>
      <c r="D6" s="6" t="s">
        <v>13</v>
      </c>
      <c r="E6" s="6" t="s">
        <v>14</v>
      </c>
      <c r="F6" s="6" t="s">
        <v>15</v>
      </c>
      <c r="G6" s="7" t="s">
        <v>16</v>
      </c>
    </row>
    <row r="7" customFormat="false" ht="23.85" hidden="false" customHeight="false" outlineLevel="0" collapsed="false">
      <c r="A7" s="6" t="s">
        <v>17</v>
      </c>
      <c r="B7" s="7" t="s">
        <v>18</v>
      </c>
      <c r="C7" s="6" t="n">
        <f aca="false">'Layer 1'!E19</f>
        <v>0</v>
      </c>
      <c r="D7" s="6" t="s">
        <v>13</v>
      </c>
      <c r="E7" s="6" t="s">
        <v>19</v>
      </c>
      <c r="F7" s="6" t="s">
        <v>19</v>
      </c>
      <c r="G7" s="7" t="s">
        <v>20</v>
      </c>
    </row>
    <row r="8" customFormat="false" ht="23.85" hidden="false" customHeight="false" outlineLevel="0" collapsed="false">
      <c r="A8" s="6" t="s">
        <v>21</v>
      </c>
      <c r="B8" s="7" t="s">
        <v>22</v>
      </c>
      <c r="C8" s="6" t="n">
        <f aca="false">'Layer 1'!E30</f>
        <v>0</v>
      </c>
      <c r="D8" s="6" t="s">
        <v>23</v>
      </c>
      <c r="E8" s="6" t="s">
        <v>15</v>
      </c>
      <c r="F8" s="6" t="s">
        <v>15</v>
      </c>
      <c r="G8" s="7" t="s">
        <v>24</v>
      </c>
    </row>
    <row r="9" customFormat="false" ht="23.85" hidden="false" customHeight="false" outlineLevel="0" collapsed="false">
      <c r="A9" s="6" t="s">
        <v>25</v>
      </c>
      <c r="B9" s="7" t="s">
        <v>26</v>
      </c>
      <c r="C9" s="6" t="n">
        <f aca="false">'Layer 1'!E39</f>
        <v>0</v>
      </c>
      <c r="D9" s="6" t="s">
        <v>27</v>
      </c>
      <c r="E9" s="6" t="s">
        <v>14</v>
      </c>
      <c r="F9" s="6" t="s">
        <v>19</v>
      </c>
      <c r="G9" s="7" t="s">
        <v>28</v>
      </c>
    </row>
    <row r="10" customFormat="false" ht="23.85" hidden="false" customHeight="false" outlineLevel="0" collapsed="false">
      <c r="A10" s="6" t="s">
        <v>29</v>
      </c>
      <c r="B10" s="7" t="s">
        <v>30</v>
      </c>
      <c r="C10" s="6" t="n">
        <f aca="false">'Layer 1'!E49</f>
        <v>0</v>
      </c>
      <c r="D10" s="6" t="s">
        <v>31</v>
      </c>
      <c r="E10" s="6" t="s">
        <v>15</v>
      </c>
      <c r="F10" s="6" t="s">
        <v>14</v>
      </c>
      <c r="G10" s="7" t="s">
        <v>32</v>
      </c>
    </row>
    <row r="11" customFormat="false" ht="23.85" hidden="false" customHeight="false" outlineLevel="0" collapsed="false">
      <c r="A11" s="6" t="s">
        <v>33</v>
      </c>
      <c r="B11" s="7" t="s">
        <v>34</v>
      </c>
      <c r="C11" s="6" t="n">
        <f aca="false">'Layer 1'!E57</f>
        <v>0</v>
      </c>
      <c r="D11" s="6" t="s">
        <v>35</v>
      </c>
      <c r="E11" s="6" t="s">
        <v>14</v>
      </c>
      <c r="F11" s="6" t="s">
        <v>19</v>
      </c>
      <c r="G11" s="7" t="s">
        <v>36</v>
      </c>
    </row>
    <row r="12" customFormat="false" ht="23.85" hidden="false" customHeight="false" outlineLevel="0" collapsed="false">
      <c r="A12" s="6" t="s">
        <v>37</v>
      </c>
      <c r="B12" s="7" t="s">
        <v>38</v>
      </c>
      <c r="C12" s="6" t="n">
        <f aca="false">'Layer 1'!E66</f>
        <v>0</v>
      </c>
      <c r="D12" s="6" t="s">
        <v>13</v>
      </c>
      <c r="E12" s="6" t="s">
        <v>14</v>
      </c>
      <c r="F12" s="6" t="s">
        <v>14</v>
      </c>
      <c r="G12" s="7" t="s">
        <v>39</v>
      </c>
    </row>
    <row r="13" customFormat="false" ht="23.85" hidden="false" customHeight="false" outlineLevel="0" collapsed="false">
      <c r="A13" s="6" t="s">
        <v>40</v>
      </c>
      <c r="B13" s="7" t="s">
        <v>41</v>
      </c>
      <c r="C13" s="6" t="n">
        <f aca="false">'Layer 1'!E71</f>
        <v>0</v>
      </c>
      <c r="D13" s="6" t="s">
        <v>13</v>
      </c>
      <c r="E13" s="6" t="s">
        <v>14</v>
      </c>
      <c r="F13" s="6" t="s">
        <v>42</v>
      </c>
      <c r="G13" s="7" t="s">
        <v>43</v>
      </c>
    </row>
    <row r="14" customFormat="false" ht="15" hidden="false" customHeight="false" outlineLevel="0" collapsed="false">
      <c r="A14" s="6"/>
      <c r="B14" s="7"/>
      <c r="C14" s="6"/>
      <c r="D14" s="6"/>
      <c r="E14" s="6"/>
      <c r="F14" s="6"/>
      <c r="G14" s="7"/>
    </row>
    <row r="15" customFormat="false" ht="15" hidden="false" customHeight="false" outlineLevel="0" collapsed="false">
      <c r="A15" s="8"/>
      <c r="B15" s="9" t="s">
        <v>44</v>
      </c>
      <c r="C15" s="8" t="n">
        <f aca="false">SUM(C6:C13)</f>
        <v>0</v>
      </c>
      <c r="D15" s="8"/>
      <c r="E15" s="8"/>
      <c r="F15" s="8"/>
      <c r="G15" s="9"/>
    </row>
    <row r="16" customFormat="false" ht="15" hidden="false" customHeight="false" outlineLevel="0" collapsed="false">
      <c r="A16" s="6"/>
      <c r="B16" s="7"/>
      <c r="C16" s="6"/>
      <c r="D16" s="6"/>
      <c r="E16" s="6"/>
      <c r="F16" s="6"/>
      <c r="G16" s="7"/>
    </row>
    <row r="17" customFormat="false" ht="15" hidden="false" customHeight="false" outlineLevel="0" collapsed="false">
      <c r="A17" s="4" t="s">
        <v>45</v>
      </c>
      <c r="B17" s="5" t="s">
        <v>46</v>
      </c>
      <c r="C17" s="4"/>
      <c r="D17" s="4"/>
      <c r="E17" s="4"/>
      <c r="F17" s="4"/>
      <c r="G17" s="5"/>
    </row>
    <row r="18" customFormat="false" ht="23.85" hidden="false" customHeight="false" outlineLevel="0" collapsed="false">
      <c r="A18" s="6" t="s">
        <v>47</v>
      </c>
      <c r="B18" s="7" t="s">
        <v>48</v>
      </c>
      <c r="C18" s="6" t="n">
        <f aca="false">'Layer 2'!E100</f>
        <v>0</v>
      </c>
      <c r="D18" s="6" t="s">
        <v>49</v>
      </c>
      <c r="E18" s="6"/>
      <c r="F18" s="6"/>
      <c r="G18" s="7" t="s">
        <v>50</v>
      </c>
    </row>
    <row r="19" customFormat="false" ht="15" hidden="false" customHeight="false" outlineLevel="0" collapsed="false">
      <c r="A19" s="6"/>
      <c r="B19" s="7"/>
      <c r="C19" s="6"/>
      <c r="D19" s="6"/>
      <c r="E19" s="6"/>
      <c r="F19" s="6"/>
      <c r="G19" s="7"/>
    </row>
    <row r="20" customFormat="false" ht="15" hidden="false" customHeight="false" outlineLevel="0" collapsed="false">
      <c r="A20" s="8"/>
      <c r="B20" s="9" t="s">
        <v>51</v>
      </c>
      <c r="C20" s="8" t="n">
        <f aca="false">C19</f>
        <v>0</v>
      </c>
      <c r="D20" s="8"/>
      <c r="E20" s="8"/>
      <c r="F20" s="8"/>
      <c r="G20" s="9"/>
    </row>
    <row r="21" customFormat="false" ht="15" hidden="false" customHeight="false" outlineLevel="0" collapsed="false">
      <c r="A21" s="6"/>
      <c r="B21" s="7"/>
      <c r="C21" s="6"/>
      <c r="D21" s="6"/>
      <c r="E21" s="6"/>
      <c r="F21" s="6"/>
      <c r="G21" s="7"/>
    </row>
    <row r="22" customFormat="false" ht="15" hidden="false" customHeight="false" outlineLevel="0" collapsed="false">
      <c r="A22" s="4" t="s">
        <v>52</v>
      </c>
      <c r="B22" s="5" t="s">
        <v>53</v>
      </c>
      <c r="C22" s="4"/>
      <c r="D22" s="4"/>
      <c r="E22" s="4"/>
      <c r="F22" s="4"/>
      <c r="G22" s="5"/>
    </row>
    <row r="23" customFormat="false" ht="23.85" hidden="false" customHeight="false" outlineLevel="0" collapsed="false">
      <c r="A23" s="6" t="s">
        <v>54</v>
      </c>
      <c r="B23" s="7" t="s">
        <v>55</v>
      </c>
      <c r="C23" s="6" t="n">
        <f aca="false">'Layer 3'!E20</f>
        <v>0</v>
      </c>
      <c r="D23" s="6"/>
      <c r="E23" s="6"/>
      <c r="F23" s="6"/>
      <c r="G23" s="7" t="s">
        <v>56</v>
      </c>
    </row>
    <row r="24" customFormat="false" ht="15" hidden="false" customHeight="false" outlineLevel="0" collapsed="false">
      <c r="A24" s="6"/>
      <c r="B24" s="7"/>
      <c r="C24" s="6"/>
      <c r="D24" s="6"/>
      <c r="E24" s="6"/>
      <c r="F24" s="6"/>
      <c r="G24" s="7"/>
    </row>
    <row r="25" customFormat="false" ht="15" hidden="false" customHeight="false" outlineLevel="0" collapsed="false">
      <c r="A25" s="8"/>
      <c r="B25" s="9" t="s">
        <v>57</v>
      </c>
      <c r="C25" s="8" t="n">
        <f aca="false">C24</f>
        <v>0</v>
      </c>
      <c r="D25" s="8"/>
      <c r="E25" s="8"/>
      <c r="F25" s="8"/>
      <c r="G25" s="9"/>
    </row>
    <row r="26" customFormat="false" ht="15" hidden="false" customHeight="false" outlineLevel="0" collapsed="false">
      <c r="A26" s="6"/>
      <c r="B26" s="7"/>
      <c r="C26" s="6"/>
      <c r="D26" s="6"/>
      <c r="E26" s="6"/>
      <c r="F26" s="6"/>
      <c r="G26" s="7"/>
    </row>
    <row r="27" customFormat="false" ht="41.75" hidden="false" customHeight="false" outlineLevel="0" collapsed="false">
      <c r="A27" s="8"/>
      <c r="B27" s="9" t="s">
        <v>58</v>
      </c>
      <c r="C27" s="8" t="n">
        <f aca="false">C15+C21+C26</f>
        <v>0</v>
      </c>
      <c r="D27" s="8"/>
      <c r="E27" s="8"/>
      <c r="F27" s="8"/>
      <c r="G27" s="9" t="s">
        <v>59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6" min="5" style="0" width="12"/>
    <col collapsed="false" customWidth="true" hidden="false" outlineLevel="0" max="7" min="7" style="0" width="45"/>
  </cols>
  <sheetData>
    <row r="1" customFormat="false" ht="18.6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0" t="s">
        <v>61</v>
      </c>
      <c r="B2" s="10"/>
      <c r="C2" s="10"/>
      <c r="D2" s="10"/>
      <c r="E2" s="10"/>
      <c r="F2" s="10"/>
      <c r="G2" s="10"/>
    </row>
    <row r="4" customFormat="false" ht="23.85" hidden="false" customHeight="false" outlineLevel="0" collapsed="false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</row>
    <row r="5" customFormat="false" ht="15" hidden="false" customHeight="true" outlineLevel="0" collapsed="false">
      <c r="A5" s="11" t="s">
        <v>69</v>
      </c>
      <c r="B5" s="11"/>
      <c r="C5" s="11"/>
      <c r="D5" s="11"/>
      <c r="E5" s="11"/>
      <c r="F5" s="11"/>
      <c r="G5" s="11"/>
    </row>
    <row r="6" customFormat="false" ht="35.05" hidden="false" customHeight="false" outlineLevel="0" collapsed="false">
      <c r="A6" s="12" t="n">
        <v>1</v>
      </c>
      <c r="B6" s="13" t="s">
        <v>70</v>
      </c>
      <c r="C6" s="14" t="s">
        <v>71</v>
      </c>
      <c r="D6" s="14" t="s">
        <v>72</v>
      </c>
      <c r="E6" s="15"/>
      <c r="F6" s="12"/>
      <c r="G6" s="14" t="s">
        <v>73</v>
      </c>
    </row>
    <row r="7" customFormat="false" ht="23.85" hidden="false" customHeight="false" outlineLevel="0" collapsed="false">
      <c r="A7" s="12" t="n">
        <v>2</v>
      </c>
      <c r="B7" s="13" t="s">
        <v>70</v>
      </c>
      <c r="C7" s="14" t="s">
        <v>74</v>
      </c>
      <c r="D7" s="14" t="s">
        <v>75</v>
      </c>
      <c r="E7" s="15"/>
      <c r="F7" s="12"/>
      <c r="G7" s="14" t="s">
        <v>76</v>
      </c>
    </row>
    <row r="8" customFormat="false" ht="23.85" hidden="false" customHeight="false" outlineLevel="0" collapsed="false">
      <c r="A8" s="12" t="n">
        <v>3</v>
      </c>
      <c r="B8" s="13" t="s">
        <v>70</v>
      </c>
      <c r="C8" s="14" t="s">
        <v>77</v>
      </c>
      <c r="D8" s="14" t="s">
        <v>78</v>
      </c>
      <c r="E8" s="15"/>
      <c r="F8" s="12"/>
      <c r="G8" s="14" t="s">
        <v>79</v>
      </c>
    </row>
    <row r="9" customFormat="false" ht="35.05" hidden="false" customHeight="false" outlineLevel="0" collapsed="false">
      <c r="A9" s="12" t="n">
        <v>4</v>
      </c>
      <c r="B9" s="13" t="s">
        <v>70</v>
      </c>
      <c r="C9" s="14" t="s">
        <v>80</v>
      </c>
      <c r="D9" s="14" t="s">
        <v>81</v>
      </c>
      <c r="E9" s="15"/>
      <c r="F9" s="12"/>
      <c r="G9" s="14" t="s">
        <v>82</v>
      </c>
    </row>
    <row r="10" customFormat="false" ht="23.85" hidden="false" customHeight="false" outlineLevel="0" collapsed="false">
      <c r="A10" s="12" t="n">
        <v>5</v>
      </c>
      <c r="B10" s="13" t="s">
        <v>70</v>
      </c>
      <c r="C10" s="14" t="s">
        <v>83</v>
      </c>
      <c r="D10" s="14" t="s">
        <v>84</v>
      </c>
      <c r="E10" s="15"/>
      <c r="F10" s="12"/>
      <c r="G10" s="14" t="s">
        <v>85</v>
      </c>
    </row>
    <row r="11" customFormat="false" ht="15" hidden="false" customHeight="false" outlineLevel="0" collapsed="false">
      <c r="A11" s="16" t="s">
        <v>86</v>
      </c>
      <c r="B11" s="16"/>
      <c r="C11" s="16"/>
      <c r="D11" s="16"/>
      <c r="E11" s="17" t="n">
        <f aca="false">SUM(E6:E10)</f>
        <v>0</v>
      </c>
      <c r="F11" s="18"/>
      <c r="G11" s="18"/>
    </row>
    <row r="12" customFormat="false" ht="15" hidden="false" customHeight="true" outlineLevel="0" collapsed="false">
      <c r="A12" s="11" t="s">
        <v>87</v>
      </c>
      <c r="B12" s="11"/>
      <c r="C12" s="11"/>
      <c r="D12" s="11"/>
      <c r="E12" s="11"/>
      <c r="F12" s="11"/>
      <c r="G12" s="11"/>
    </row>
    <row r="13" customFormat="false" ht="35.05" hidden="false" customHeight="false" outlineLevel="0" collapsed="false">
      <c r="A13" s="12" t="n">
        <v>10</v>
      </c>
      <c r="B13" s="13" t="s">
        <v>88</v>
      </c>
      <c r="C13" s="14" t="s">
        <v>89</v>
      </c>
      <c r="D13" s="14" t="s">
        <v>90</v>
      </c>
      <c r="E13" s="15"/>
      <c r="F13" s="12"/>
      <c r="G13" s="14" t="s">
        <v>91</v>
      </c>
    </row>
    <row r="14" customFormat="false" ht="23.85" hidden="false" customHeight="false" outlineLevel="0" collapsed="false">
      <c r="A14" s="12" t="n">
        <v>11</v>
      </c>
      <c r="B14" s="13" t="s">
        <v>88</v>
      </c>
      <c r="C14" s="14" t="s">
        <v>92</v>
      </c>
      <c r="D14" s="14" t="s">
        <v>93</v>
      </c>
      <c r="E14" s="15"/>
      <c r="F14" s="12"/>
      <c r="G14" s="14" t="s">
        <v>94</v>
      </c>
    </row>
    <row r="15" customFormat="false" ht="23.85" hidden="false" customHeight="false" outlineLevel="0" collapsed="false">
      <c r="A15" s="12" t="n">
        <v>12</v>
      </c>
      <c r="B15" s="13" t="s">
        <v>88</v>
      </c>
      <c r="C15" s="14" t="s">
        <v>95</v>
      </c>
      <c r="D15" s="14" t="s">
        <v>96</v>
      </c>
      <c r="E15" s="15"/>
      <c r="F15" s="12"/>
      <c r="G15" s="14" t="s">
        <v>97</v>
      </c>
    </row>
    <row r="16" customFormat="false" ht="15" hidden="false" customHeight="false" outlineLevel="0" collapsed="false">
      <c r="A16" s="16" t="s">
        <v>98</v>
      </c>
      <c r="B16" s="16"/>
      <c r="C16" s="16"/>
      <c r="D16" s="16"/>
      <c r="E16" s="17" t="n">
        <f aca="false">SUM(E13:E15)</f>
        <v>0</v>
      </c>
      <c r="F16" s="18"/>
      <c r="G16" s="18"/>
    </row>
    <row r="17" customFormat="false" ht="15" hidden="false" customHeight="true" outlineLevel="0" collapsed="false">
      <c r="A17" s="11" t="s">
        <v>99</v>
      </c>
      <c r="B17" s="11"/>
      <c r="C17" s="11"/>
      <c r="D17" s="11"/>
      <c r="E17" s="11"/>
      <c r="F17" s="11"/>
      <c r="G17" s="11"/>
    </row>
    <row r="18" customFormat="false" ht="35.05" hidden="false" customHeight="false" outlineLevel="0" collapsed="false">
      <c r="A18" s="12" t="n">
        <v>20</v>
      </c>
      <c r="B18" s="13" t="s">
        <v>100</v>
      </c>
      <c r="C18" s="14" t="s">
        <v>101</v>
      </c>
      <c r="D18" s="14" t="s">
        <v>102</v>
      </c>
      <c r="E18" s="15"/>
      <c r="F18" s="12"/>
      <c r="G18" s="14" t="s">
        <v>103</v>
      </c>
    </row>
    <row r="19" customFormat="false" ht="35.05" hidden="false" customHeight="false" outlineLevel="0" collapsed="false">
      <c r="A19" s="12" t="n">
        <v>21</v>
      </c>
      <c r="B19" s="13" t="s">
        <v>100</v>
      </c>
      <c r="C19" s="14" t="s">
        <v>104</v>
      </c>
      <c r="D19" s="14" t="s">
        <v>105</v>
      </c>
      <c r="E19" s="15"/>
      <c r="F19" s="12"/>
      <c r="G19" s="14" t="s">
        <v>106</v>
      </c>
    </row>
    <row r="20" customFormat="false" ht="23.85" hidden="false" customHeight="false" outlineLevel="0" collapsed="false">
      <c r="A20" s="12" t="n">
        <v>22</v>
      </c>
      <c r="B20" s="13" t="s">
        <v>100</v>
      </c>
      <c r="C20" s="14" t="s">
        <v>107</v>
      </c>
      <c r="D20" s="14" t="s">
        <v>108</v>
      </c>
      <c r="E20" s="15"/>
      <c r="F20" s="12"/>
      <c r="G20" s="14" t="s">
        <v>109</v>
      </c>
    </row>
    <row r="21" customFormat="false" ht="35.05" hidden="false" customHeight="false" outlineLevel="0" collapsed="false">
      <c r="A21" s="12" t="n">
        <v>23</v>
      </c>
      <c r="B21" s="13" t="s">
        <v>100</v>
      </c>
      <c r="C21" s="14" t="s">
        <v>110</v>
      </c>
      <c r="D21" s="14" t="s">
        <v>111</v>
      </c>
      <c r="E21" s="15"/>
      <c r="F21" s="12"/>
      <c r="G21" s="14" t="s">
        <v>112</v>
      </c>
    </row>
    <row r="22" customFormat="false" ht="23.85" hidden="false" customHeight="false" outlineLevel="0" collapsed="false">
      <c r="A22" s="12" t="n">
        <v>24</v>
      </c>
      <c r="B22" s="13" t="s">
        <v>100</v>
      </c>
      <c r="C22" s="14" t="s">
        <v>113</v>
      </c>
      <c r="D22" s="14" t="s">
        <v>114</v>
      </c>
      <c r="E22" s="15"/>
      <c r="F22" s="12"/>
      <c r="G22" s="14" t="s">
        <v>115</v>
      </c>
    </row>
    <row r="23" customFormat="false" ht="23.85" hidden="false" customHeight="false" outlineLevel="0" collapsed="false">
      <c r="A23" s="12" t="n">
        <v>25</v>
      </c>
      <c r="B23" s="13" t="s">
        <v>100</v>
      </c>
      <c r="C23" s="14" t="s">
        <v>116</v>
      </c>
      <c r="D23" s="14" t="s">
        <v>117</v>
      </c>
      <c r="E23" s="15"/>
      <c r="F23" s="12"/>
      <c r="G23" s="14" t="s">
        <v>118</v>
      </c>
    </row>
    <row r="24" customFormat="false" ht="23.85" hidden="false" customHeight="false" outlineLevel="0" collapsed="false">
      <c r="A24" s="12" t="n">
        <v>26</v>
      </c>
      <c r="B24" s="13" t="s">
        <v>100</v>
      </c>
      <c r="C24" s="14" t="s">
        <v>119</v>
      </c>
      <c r="D24" s="14" t="s">
        <v>120</v>
      </c>
      <c r="E24" s="15"/>
      <c r="F24" s="12"/>
      <c r="G24" s="14" t="s">
        <v>121</v>
      </c>
    </row>
    <row r="25" customFormat="false" ht="35.05" hidden="false" customHeight="false" outlineLevel="0" collapsed="false">
      <c r="A25" s="12" t="n">
        <v>27</v>
      </c>
      <c r="B25" s="13" t="s">
        <v>100</v>
      </c>
      <c r="C25" s="14" t="s">
        <v>122</v>
      </c>
      <c r="D25" s="14" t="s">
        <v>123</v>
      </c>
      <c r="E25" s="15"/>
      <c r="F25" s="12"/>
      <c r="G25" s="14" t="s">
        <v>124</v>
      </c>
    </row>
    <row r="26" customFormat="false" ht="15" hidden="false" customHeight="false" outlineLevel="0" collapsed="false">
      <c r="A26" s="16" t="s">
        <v>125</v>
      </c>
      <c r="B26" s="16"/>
      <c r="C26" s="16"/>
      <c r="D26" s="16"/>
      <c r="E26" s="17" t="n">
        <f aca="false">SUM(E18:E25)</f>
        <v>0</v>
      </c>
      <c r="F26" s="18"/>
      <c r="G26" s="18"/>
    </row>
    <row r="27" customFormat="false" ht="15" hidden="false" customHeight="true" outlineLevel="0" collapsed="false">
      <c r="A27" s="11" t="s">
        <v>126</v>
      </c>
      <c r="B27" s="11"/>
      <c r="C27" s="11"/>
      <c r="D27" s="11"/>
      <c r="E27" s="11"/>
      <c r="F27" s="11"/>
      <c r="G27" s="11"/>
    </row>
    <row r="28" customFormat="false" ht="35.05" hidden="false" customHeight="false" outlineLevel="0" collapsed="false">
      <c r="A28" s="12" t="n">
        <v>30</v>
      </c>
      <c r="B28" s="13" t="s">
        <v>127</v>
      </c>
      <c r="C28" s="14" t="s">
        <v>128</v>
      </c>
      <c r="D28" s="14" t="s">
        <v>129</v>
      </c>
      <c r="E28" s="15"/>
      <c r="F28" s="12"/>
      <c r="G28" s="14" t="s">
        <v>130</v>
      </c>
    </row>
    <row r="29" customFormat="false" ht="35.05" hidden="false" customHeight="false" outlineLevel="0" collapsed="false">
      <c r="A29" s="12" t="n">
        <v>31</v>
      </c>
      <c r="B29" s="13" t="s">
        <v>127</v>
      </c>
      <c r="C29" s="14" t="s">
        <v>131</v>
      </c>
      <c r="D29" s="14" t="s">
        <v>132</v>
      </c>
      <c r="E29" s="15"/>
      <c r="F29" s="12"/>
      <c r="G29" s="14" t="s">
        <v>133</v>
      </c>
    </row>
    <row r="30" customFormat="false" ht="23.85" hidden="false" customHeight="false" outlineLevel="0" collapsed="false">
      <c r="A30" s="12" t="n">
        <v>32</v>
      </c>
      <c r="B30" s="13" t="s">
        <v>127</v>
      </c>
      <c r="C30" s="14" t="s">
        <v>134</v>
      </c>
      <c r="D30" s="14" t="s">
        <v>135</v>
      </c>
      <c r="E30" s="15"/>
      <c r="F30" s="12"/>
      <c r="G30" s="14" t="s">
        <v>136</v>
      </c>
    </row>
    <row r="31" customFormat="false" ht="23.85" hidden="false" customHeight="false" outlineLevel="0" collapsed="false">
      <c r="A31" s="12" t="n">
        <v>33</v>
      </c>
      <c r="B31" s="13" t="s">
        <v>127</v>
      </c>
      <c r="C31" s="14" t="s">
        <v>137</v>
      </c>
      <c r="D31" s="14" t="s">
        <v>138</v>
      </c>
      <c r="E31" s="15"/>
      <c r="F31" s="12"/>
      <c r="G31" s="14" t="s">
        <v>139</v>
      </c>
    </row>
    <row r="32" customFormat="false" ht="23.85" hidden="false" customHeight="false" outlineLevel="0" collapsed="false">
      <c r="A32" s="12" t="n">
        <v>34</v>
      </c>
      <c r="B32" s="13" t="s">
        <v>127</v>
      </c>
      <c r="C32" s="14" t="s">
        <v>140</v>
      </c>
      <c r="D32" s="14" t="s">
        <v>141</v>
      </c>
      <c r="E32" s="15"/>
      <c r="F32" s="12"/>
      <c r="G32" s="14" t="s">
        <v>142</v>
      </c>
    </row>
    <row r="33" customFormat="false" ht="23.85" hidden="false" customHeight="false" outlineLevel="0" collapsed="false">
      <c r="A33" s="12" t="n">
        <v>35</v>
      </c>
      <c r="B33" s="13" t="s">
        <v>127</v>
      </c>
      <c r="C33" s="14" t="s">
        <v>143</v>
      </c>
      <c r="D33" s="14" t="s">
        <v>144</v>
      </c>
      <c r="E33" s="15"/>
      <c r="F33" s="12"/>
      <c r="G33" s="14" t="s">
        <v>145</v>
      </c>
    </row>
    <row r="34" customFormat="false" ht="15" hidden="false" customHeight="false" outlineLevel="0" collapsed="false">
      <c r="A34" s="16" t="s">
        <v>146</v>
      </c>
      <c r="B34" s="16"/>
      <c r="C34" s="16"/>
      <c r="D34" s="16"/>
      <c r="E34" s="17" t="n">
        <f aca="false">SUM(E28:E33)</f>
        <v>0</v>
      </c>
      <c r="F34" s="18"/>
      <c r="G34" s="18"/>
    </row>
    <row r="35" customFormat="false" ht="15" hidden="false" customHeight="true" outlineLevel="0" collapsed="false">
      <c r="A35" s="11" t="s">
        <v>147</v>
      </c>
      <c r="B35" s="11"/>
      <c r="C35" s="11"/>
      <c r="D35" s="11"/>
      <c r="E35" s="11"/>
      <c r="F35" s="11"/>
      <c r="G35" s="11"/>
    </row>
    <row r="36" customFormat="false" ht="35.05" hidden="false" customHeight="false" outlineLevel="0" collapsed="false">
      <c r="A36" s="12" t="n">
        <v>40</v>
      </c>
      <c r="B36" s="13" t="s">
        <v>148</v>
      </c>
      <c r="C36" s="14" t="s">
        <v>149</v>
      </c>
      <c r="D36" s="14" t="s">
        <v>150</v>
      </c>
      <c r="E36" s="15"/>
      <c r="F36" s="12"/>
      <c r="G36" s="14" t="s">
        <v>151</v>
      </c>
    </row>
    <row r="37" customFormat="false" ht="23.85" hidden="false" customHeight="false" outlineLevel="0" collapsed="false">
      <c r="A37" s="12" t="n">
        <v>41</v>
      </c>
      <c r="B37" s="13" t="s">
        <v>148</v>
      </c>
      <c r="C37" s="14" t="s">
        <v>152</v>
      </c>
      <c r="D37" s="14" t="s">
        <v>153</v>
      </c>
      <c r="E37" s="15"/>
      <c r="F37" s="12"/>
      <c r="G37" s="14" t="s">
        <v>154</v>
      </c>
    </row>
    <row r="38" customFormat="false" ht="35.05" hidden="false" customHeight="false" outlineLevel="0" collapsed="false">
      <c r="A38" s="12" t="n">
        <v>42</v>
      </c>
      <c r="B38" s="13" t="s">
        <v>148</v>
      </c>
      <c r="C38" s="14" t="s">
        <v>155</v>
      </c>
      <c r="D38" s="14" t="s">
        <v>156</v>
      </c>
      <c r="E38" s="15"/>
      <c r="F38" s="12"/>
      <c r="G38" s="14" t="s">
        <v>157</v>
      </c>
    </row>
    <row r="39" customFormat="false" ht="23.85" hidden="false" customHeight="false" outlineLevel="0" collapsed="false">
      <c r="A39" s="12" t="n">
        <v>43</v>
      </c>
      <c r="B39" s="13" t="s">
        <v>148</v>
      </c>
      <c r="C39" s="14" t="s">
        <v>158</v>
      </c>
      <c r="D39" s="14" t="s">
        <v>159</v>
      </c>
      <c r="E39" s="15"/>
      <c r="F39" s="12"/>
      <c r="G39" s="14" t="s">
        <v>160</v>
      </c>
    </row>
    <row r="40" customFormat="false" ht="23.85" hidden="false" customHeight="false" outlineLevel="0" collapsed="false">
      <c r="A40" s="12" t="n">
        <v>44</v>
      </c>
      <c r="B40" s="13" t="s">
        <v>148</v>
      </c>
      <c r="C40" s="14" t="s">
        <v>161</v>
      </c>
      <c r="D40" s="14" t="s">
        <v>162</v>
      </c>
      <c r="E40" s="15"/>
      <c r="F40" s="12"/>
      <c r="G40" s="14" t="s">
        <v>163</v>
      </c>
    </row>
    <row r="41" customFormat="false" ht="23.85" hidden="false" customHeight="false" outlineLevel="0" collapsed="false">
      <c r="A41" s="12" t="n">
        <v>45</v>
      </c>
      <c r="B41" s="13" t="s">
        <v>148</v>
      </c>
      <c r="C41" s="14" t="s">
        <v>74</v>
      </c>
      <c r="D41" s="14" t="s">
        <v>164</v>
      </c>
      <c r="E41" s="15"/>
      <c r="F41" s="12"/>
      <c r="G41" s="14" t="s">
        <v>165</v>
      </c>
    </row>
    <row r="42" customFormat="false" ht="23.85" hidden="false" customHeight="false" outlineLevel="0" collapsed="false">
      <c r="A42" s="12" t="n">
        <v>46</v>
      </c>
      <c r="B42" s="13" t="s">
        <v>148</v>
      </c>
      <c r="C42" s="14" t="s">
        <v>166</v>
      </c>
      <c r="D42" s="14" t="s">
        <v>167</v>
      </c>
      <c r="E42" s="15"/>
      <c r="F42" s="12"/>
      <c r="G42" s="14" t="s">
        <v>168</v>
      </c>
    </row>
    <row r="43" customFormat="false" ht="23.85" hidden="false" customHeight="false" outlineLevel="0" collapsed="false">
      <c r="A43" s="12" t="n">
        <v>47</v>
      </c>
      <c r="B43" s="13" t="s">
        <v>148</v>
      </c>
      <c r="C43" s="14" t="s">
        <v>169</v>
      </c>
      <c r="D43" s="14" t="s">
        <v>170</v>
      </c>
      <c r="E43" s="15"/>
      <c r="F43" s="12"/>
      <c r="G43" s="14" t="s">
        <v>171</v>
      </c>
    </row>
    <row r="44" customFormat="false" ht="15" hidden="false" customHeight="false" outlineLevel="0" collapsed="false">
      <c r="A44" s="16" t="s">
        <v>172</v>
      </c>
      <c r="B44" s="16"/>
      <c r="C44" s="16"/>
      <c r="D44" s="16"/>
      <c r="E44" s="17" t="n">
        <f aca="false">SUM(E36:E43)</f>
        <v>0</v>
      </c>
      <c r="F44" s="18"/>
      <c r="G44" s="18"/>
    </row>
    <row r="45" customFormat="false" ht="15" hidden="false" customHeight="true" outlineLevel="0" collapsed="false">
      <c r="A45" s="11" t="s">
        <v>173</v>
      </c>
      <c r="B45" s="11"/>
      <c r="C45" s="11"/>
      <c r="D45" s="11"/>
      <c r="E45" s="11"/>
      <c r="F45" s="11"/>
      <c r="G45" s="11"/>
    </row>
    <row r="46" customFormat="false" ht="23.85" hidden="false" customHeight="false" outlineLevel="0" collapsed="false">
      <c r="A46" s="12" t="n">
        <v>50</v>
      </c>
      <c r="B46" s="13" t="s">
        <v>174</v>
      </c>
      <c r="C46" s="14" t="s">
        <v>175</v>
      </c>
      <c r="D46" s="14" t="s">
        <v>176</v>
      </c>
      <c r="E46" s="15"/>
      <c r="F46" s="12"/>
      <c r="G46" s="14" t="s">
        <v>177</v>
      </c>
    </row>
    <row r="47" customFormat="false" ht="23.85" hidden="false" customHeight="false" outlineLevel="0" collapsed="false">
      <c r="A47" s="12" t="n">
        <v>51</v>
      </c>
      <c r="B47" s="13" t="s">
        <v>174</v>
      </c>
      <c r="C47" s="14" t="s">
        <v>178</v>
      </c>
      <c r="D47" s="14" t="s">
        <v>179</v>
      </c>
      <c r="E47" s="15"/>
      <c r="F47" s="12"/>
      <c r="G47" s="14" t="s">
        <v>180</v>
      </c>
    </row>
    <row r="48" customFormat="false" ht="23.85" hidden="false" customHeight="false" outlineLevel="0" collapsed="false">
      <c r="A48" s="12" t="n">
        <v>52</v>
      </c>
      <c r="B48" s="13" t="s">
        <v>174</v>
      </c>
      <c r="C48" s="14" t="s">
        <v>181</v>
      </c>
      <c r="D48" s="14" t="s">
        <v>182</v>
      </c>
      <c r="E48" s="15"/>
      <c r="F48" s="12"/>
      <c r="G48" s="14" t="s">
        <v>183</v>
      </c>
    </row>
    <row r="49" customFormat="false" ht="23.85" hidden="false" customHeight="false" outlineLevel="0" collapsed="false">
      <c r="A49" s="12" t="n">
        <v>53</v>
      </c>
      <c r="B49" s="13" t="s">
        <v>174</v>
      </c>
      <c r="C49" s="14" t="s">
        <v>184</v>
      </c>
      <c r="D49" s="14" t="s">
        <v>185</v>
      </c>
      <c r="E49" s="15"/>
      <c r="F49" s="12"/>
      <c r="G49" s="14" t="s">
        <v>186</v>
      </c>
    </row>
    <row r="50" customFormat="false" ht="23.85" hidden="false" customHeight="false" outlineLevel="0" collapsed="false">
      <c r="A50" s="12" t="n">
        <v>54</v>
      </c>
      <c r="B50" s="13" t="s">
        <v>174</v>
      </c>
      <c r="C50" s="14" t="s">
        <v>187</v>
      </c>
      <c r="D50" s="14" t="s">
        <v>188</v>
      </c>
      <c r="E50" s="15"/>
      <c r="F50" s="12"/>
      <c r="G50" s="14" t="s">
        <v>189</v>
      </c>
    </row>
    <row r="51" customFormat="false" ht="23.85" hidden="false" customHeight="false" outlineLevel="0" collapsed="false">
      <c r="A51" s="12" t="n">
        <v>55</v>
      </c>
      <c r="B51" s="13" t="s">
        <v>174</v>
      </c>
      <c r="C51" s="14" t="s">
        <v>190</v>
      </c>
      <c r="D51" s="14" t="s">
        <v>191</v>
      </c>
      <c r="E51" s="15"/>
      <c r="F51" s="12"/>
      <c r="G51" s="14" t="s">
        <v>192</v>
      </c>
    </row>
    <row r="52" customFormat="false" ht="15" hidden="false" customHeight="false" outlineLevel="0" collapsed="false">
      <c r="A52" s="16" t="s">
        <v>193</v>
      </c>
      <c r="B52" s="16"/>
      <c r="C52" s="16"/>
      <c r="D52" s="16"/>
      <c r="E52" s="17" t="n">
        <f aca="false">SUM(E46:E51)</f>
        <v>0</v>
      </c>
      <c r="F52" s="18"/>
      <c r="G52" s="18"/>
    </row>
    <row r="53" customFormat="false" ht="15" hidden="false" customHeight="true" outlineLevel="0" collapsed="false">
      <c r="A53" s="11" t="s">
        <v>194</v>
      </c>
      <c r="B53" s="11"/>
      <c r="C53" s="11"/>
      <c r="D53" s="11"/>
      <c r="E53" s="11"/>
      <c r="F53" s="11"/>
      <c r="G53" s="11"/>
    </row>
    <row r="54" customFormat="false" ht="23.85" hidden="false" customHeight="false" outlineLevel="0" collapsed="false">
      <c r="A54" s="12" t="n">
        <v>60</v>
      </c>
      <c r="B54" s="13" t="s">
        <v>195</v>
      </c>
      <c r="C54" s="14" t="s">
        <v>196</v>
      </c>
      <c r="D54" s="14" t="s">
        <v>197</v>
      </c>
      <c r="E54" s="15"/>
      <c r="F54" s="12"/>
      <c r="G54" s="14" t="s">
        <v>198</v>
      </c>
    </row>
    <row r="55" customFormat="false" ht="23.85" hidden="false" customHeight="false" outlineLevel="0" collapsed="false">
      <c r="A55" s="12" t="n">
        <v>61</v>
      </c>
      <c r="B55" s="13" t="s">
        <v>195</v>
      </c>
      <c r="C55" s="14" t="s">
        <v>199</v>
      </c>
      <c r="D55" s="14" t="s">
        <v>200</v>
      </c>
      <c r="E55" s="15"/>
      <c r="F55" s="12"/>
      <c r="G55" s="14" t="s">
        <v>201</v>
      </c>
    </row>
    <row r="56" customFormat="false" ht="23.85" hidden="false" customHeight="false" outlineLevel="0" collapsed="false">
      <c r="A56" s="12" t="n">
        <v>62</v>
      </c>
      <c r="B56" s="13" t="s">
        <v>195</v>
      </c>
      <c r="C56" s="14" t="s">
        <v>202</v>
      </c>
      <c r="D56" s="14" t="s">
        <v>203</v>
      </c>
      <c r="E56" s="15"/>
      <c r="F56" s="12"/>
      <c r="G56" s="14" t="s">
        <v>204</v>
      </c>
    </row>
    <row r="57" customFormat="false" ht="23.85" hidden="false" customHeight="false" outlineLevel="0" collapsed="false">
      <c r="A57" s="12" t="n">
        <v>63</v>
      </c>
      <c r="B57" s="13" t="s">
        <v>195</v>
      </c>
      <c r="C57" s="14" t="s">
        <v>205</v>
      </c>
      <c r="D57" s="14" t="s">
        <v>206</v>
      </c>
      <c r="E57" s="15"/>
      <c r="F57" s="12"/>
      <c r="G57" s="14" t="s">
        <v>207</v>
      </c>
    </row>
    <row r="58" customFormat="false" ht="23.85" hidden="false" customHeight="false" outlineLevel="0" collapsed="false">
      <c r="A58" s="12" t="n">
        <v>64</v>
      </c>
      <c r="B58" s="13" t="s">
        <v>195</v>
      </c>
      <c r="C58" s="14" t="s">
        <v>208</v>
      </c>
      <c r="D58" s="14" t="s">
        <v>209</v>
      </c>
      <c r="E58" s="15"/>
      <c r="F58" s="12"/>
      <c r="G58" s="14" t="s">
        <v>210</v>
      </c>
    </row>
    <row r="59" customFormat="false" ht="35.05" hidden="false" customHeight="false" outlineLevel="0" collapsed="false">
      <c r="A59" s="12" t="n">
        <v>65</v>
      </c>
      <c r="B59" s="13" t="s">
        <v>195</v>
      </c>
      <c r="C59" s="14" t="s">
        <v>211</v>
      </c>
      <c r="D59" s="14" t="s">
        <v>212</v>
      </c>
      <c r="E59" s="15"/>
      <c r="F59" s="12"/>
      <c r="G59" s="14" t="s">
        <v>213</v>
      </c>
    </row>
    <row r="60" customFormat="false" ht="15" hidden="false" customHeight="false" outlineLevel="0" collapsed="false">
      <c r="A60" s="16" t="s">
        <v>214</v>
      </c>
      <c r="B60" s="16"/>
      <c r="C60" s="16"/>
      <c r="D60" s="16"/>
      <c r="E60" s="17" t="n">
        <f aca="false">SUM(E54:E59)</f>
        <v>0</v>
      </c>
      <c r="F60" s="18"/>
      <c r="G60" s="18"/>
    </row>
    <row r="61" customFormat="false" ht="15" hidden="false" customHeight="true" outlineLevel="0" collapsed="false">
      <c r="A61" s="11" t="s">
        <v>215</v>
      </c>
      <c r="B61" s="11"/>
      <c r="C61" s="11"/>
      <c r="D61" s="11"/>
      <c r="E61" s="11"/>
      <c r="F61" s="11"/>
      <c r="G61" s="11"/>
    </row>
    <row r="62" customFormat="false" ht="23.85" hidden="false" customHeight="false" outlineLevel="0" collapsed="false">
      <c r="A62" s="12" t="n">
        <v>70</v>
      </c>
      <c r="B62" s="13" t="s">
        <v>216</v>
      </c>
      <c r="C62" s="14" t="s">
        <v>217</v>
      </c>
      <c r="D62" s="14" t="s">
        <v>218</v>
      </c>
      <c r="E62" s="15"/>
      <c r="F62" s="12"/>
      <c r="G62" s="14" t="s">
        <v>219</v>
      </c>
    </row>
    <row r="63" customFormat="false" ht="23.85" hidden="false" customHeight="false" outlineLevel="0" collapsed="false">
      <c r="A63" s="12" t="n">
        <v>71</v>
      </c>
      <c r="B63" s="13" t="s">
        <v>216</v>
      </c>
      <c r="C63" s="14" t="s">
        <v>220</v>
      </c>
      <c r="D63" s="14" t="s">
        <v>221</v>
      </c>
      <c r="E63" s="15"/>
      <c r="F63" s="12"/>
      <c r="G63" s="14" t="s">
        <v>222</v>
      </c>
    </row>
    <row r="64" customFormat="false" ht="23.85" hidden="false" customHeight="false" outlineLevel="0" collapsed="false">
      <c r="A64" s="12" t="n">
        <v>72</v>
      </c>
      <c r="B64" s="13" t="s">
        <v>216</v>
      </c>
      <c r="C64" s="14" t="s">
        <v>223</v>
      </c>
      <c r="D64" s="14" t="s">
        <v>224</v>
      </c>
      <c r="E64" s="15"/>
      <c r="F64" s="12"/>
      <c r="G64" s="14" t="s">
        <v>225</v>
      </c>
    </row>
    <row r="65" customFormat="false" ht="23.85" hidden="false" customHeight="false" outlineLevel="0" collapsed="false">
      <c r="A65" s="12" t="n">
        <v>73</v>
      </c>
      <c r="B65" s="13" t="s">
        <v>216</v>
      </c>
      <c r="C65" s="14" t="s">
        <v>226</v>
      </c>
      <c r="D65" s="14" t="s">
        <v>227</v>
      </c>
      <c r="E65" s="15"/>
      <c r="F65" s="12"/>
      <c r="G65" s="14" t="s">
        <v>228</v>
      </c>
    </row>
    <row r="66" customFormat="false" ht="15" hidden="false" customHeight="false" outlineLevel="0" collapsed="false">
      <c r="A66" s="16" t="s">
        <v>229</v>
      </c>
      <c r="B66" s="16"/>
      <c r="C66" s="16"/>
      <c r="D66" s="16"/>
      <c r="E66" s="17" t="n">
        <f aca="false">SUM(E62:E65)</f>
        <v>0</v>
      </c>
      <c r="F66" s="18"/>
      <c r="G66" s="18"/>
    </row>
    <row r="67" customFormat="false" ht="15" hidden="false" customHeight="false" outlineLevel="0" collapsed="false">
      <c r="A67" s="19" t="s">
        <v>230</v>
      </c>
      <c r="B67" s="19"/>
      <c r="C67" s="19"/>
      <c r="D67" s="19"/>
      <c r="E67" s="20" t="n">
        <f aca="false">E14+E19+E30+E39+E49+E57+E66+E71</f>
        <v>0</v>
      </c>
      <c r="F67" s="21"/>
      <c r="G67" s="21"/>
    </row>
  </sheetData>
  <mergeCells count="19">
    <mergeCell ref="A1:G1"/>
    <mergeCell ref="A2:G2"/>
    <mergeCell ref="A5:G5"/>
    <mergeCell ref="A11:D11"/>
    <mergeCell ref="A12:G12"/>
    <mergeCell ref="A16:D16"/>
    <mergeCell ref="A17:G17"/>
    <mergeCell ref="A26:D26"/>
    <mergeCell ref="A27:G27"/>
    <mergeCell ref="A34:D34"/>
    <mergeCell ref="A35:G35"/>
    <mergeCell ref="A44:D44"/>
    <mergeCell ref="A45:G45"/>
    <mergeCell ref="A52:D52"/>
    <mergeCell ref="A53:G53"/>
    <mergeCell ref="A60:D60"/>
    <mergeCell ref="A61:G61"/>
    <mergeCell ref="A66:D66"/>
    <mergeCell ref="A67:D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6" min="5" style="0" width="12"/>
    <col collapsed="false" customWidth="true" hidden="false" outlineLevel="0" max="7" min="7" style="0" width="45"/>
  </cols>
  <sheetData>
    <row r="1" customFormat="false" ht="18.65" hidden="false" customHeight="true" outlineLevel="0" collapsed="false">
      <c r="A1" s="1" t="s">
        <v>231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0" t="s">
        <v>232</v>
      </c>
      <c r="B2" s="10"/>
      <c r="C2" s="10"/>
      <c r="D2" s="10"/>
      <c r="E2" s="10"/>
      <c r="F2" s="10"/>
      <c r="G2" s="10"/>
    </row>
    <row r="3" customFormat="false" ht="15" hidden="false" customHeight="true" outlineLevel="0" collapsed="false">
      <c r="A3" s="22" t="s">
        <v>233</v>
      </c>
      <c r="B3" s="22"/>
      <c r="C3" s="22"/>
      <c r="D3" s="22"/>
      <c r="E3" s="22"/>
      <c r="F3" s="22"/>
      <c r="G3" s="22"/>
    </row>
    <row r="5" customFormat="false" ht="23.85" hidden="false" customHeight="false" outlineLevel="0" collapsed="false">
      <c r="A5" s="3" t="s">
        <v>62</v>
      </c>
      <c r="B5" s="3" t="s">
        <v>234</v>
      </c>
      <c r="C5" s="3" t="s">
        <v>64</v>
      </c>
      <c r="D5" s="3" t="s">
        <v>235</v>
      </c>
      <c r="E5" s="3" t="s">
        <v>66</v>
      </c>
      <c r="F5" s="3" t="s">
        <v>67</v>
      </c>
      <c r="G5" s="3" t="s">
        <v>236</v>
      </c>
    </row>
    <row r="6" customFormat="false" ht="15" hidden="false" customHeight="true" outlineLevel="0" collapsed="false">
      <c r="A6" s="11" t="s">
        <v>237</v>
      </c>
      <c r="B6" s="11"/>
      <c r="C6" s="11"/>
      <c r="D6" s="11"/>
      <c r="E6" s="11"/>
      <c r="F6" s="11"/>
      <c r="G6" s="11"/>
    </row>
    <row r="7" customFormat="false" ht="15" hidden="false" customHeight="true" outlineLevel="0" collapsed="false">
      <c r="B7" s="10" t="s">
        <v>238</v>
      </c>
      <c r="C7" s="10"/>
      <c r="D7" s="10"/>
      <c r="E7" s="10"/>
      <c r="F7" s="10"/>
      <c r="G7" s="10"/>
    </row>
    <row r="8" customFormat="false" ht="23.85" hidden="false" customHeight="false" outlineLevel="0" collapsed="false">
      <c r="A8" s="12" t="s">
        <v>11</v>
      </c>
      <c r="B8" s="13" t="s">
        <v>239</v>
      </c>
      <c r="C8" s="14" t="s">
        <v>240</v>
      </c>
      <c r="D8" s="14"/>
      <c r="E8" s="15"/>
      <c r="F8" s="12"/>
      <c r="G8" s="14"/>
    </row>
    <row r="9" customFormat="false" ht="23.85" hidden="false" customHeight="false" outlineLevel="0" collapsed="false">
      <c r="A9" s="23" t="s">
        <v>17</v>
      </c>
      <c r="B9" s="24" t="s">
        <v>239</v>
      </c>
      <c r="C9" s="25" t="s">
        <v>241</v>
      </c>
      <c r="D9" s="25"/>
      <c r="E9" s="26"/>
      <c r="F9" s="23"/>
      <c r="G9" s="25"/>
    </row>
    <row r="10" customFormat="false" ht="15" hidden="false" customHeight="false" outlineLevel="0" collapsed="false">
      <c r="A10" s="12" t="s">
        <v>21</v>
      </c>
      <c r="B10" s="13" t="s">
        <v>239</v>
      </c>
      <c r="C10" s="14" t="s">
        <v>242</v>
      </c>
      <c r="D10" s="14"/>
      <c r="E10" s="15"/>
      <c r="F10" s="12"/>
      <c r="G10" s="14"/>
    </row>
    <row r="11" customFormat="false" ht="15" hidden="false" customHeight="false" outlineLevel="0" collapsed="false">
      <c r="A11" s="23" t="s">
        <v>25</v>
      </c>
      <c r="B11" s="24" t="s">
        <v>239</v>
      </c>
      <c r="C11" s="25" t="s">
        <v>243</v>
      </c>
      <c r="D11" s="25"/>
      <c r="E11" s="26"/>
      <c r="F11" s="23"/>
      <c r="G11" s="25"/>
    </row>
    <row r="12" customFormat="false" ht="15" hidden="false" customHeight="false" outlineLevel="0" collapsed="false">
      <c r="A12" s="12" t="s">
        <v>29</v>
      </c>
      <c r="B12" s="13" t="s">
        <v>239</v>
      </c>
      <c r="C12" s="14" t="s">
        <v>244</v>
      </c>
      <c r="D12" s="14"/>
      <c r="E12" s="15"/>
      <c r="F12" s="12"/>
      <c r="G12" s="14"/>
    </row>
    <row r="13" customFormat="false" ht="23.85" hidden="false" customHeight="false" outlineLevel="0" collapsed="false">
      <c r="A13" s="23" t="s">
        <v>33</v>
      </c>
      <c r="B13" s="24" t="s">
        <v>239</v>
      </c>
      <c r="C13" s="25" t="s">
        <v>245</v>
      </c>
      <c r="D13" s="25"/>
      <c r="E13" s="26"/>
      <c r="F13" s="23"/>
      <c r="G13" s="25"/>
    </row>
    <row r="14" customFormat="false" ht="15" hidden="false" customHeight="false" outlineLevel="0" collapsed="false">
      <c r="A14" s="12" t="s">
        <v>37</v>
      </c>
      <c r="B14" s="13" t="s">
        <v>239</v>
      </c>
      <c r="C14" s="14" t="s">
        <v>246</v>
      </c>
      <c r="D14" s="14"/>
      <c r="E14" s="15"/>
      <c r="F14" s="12"/>
      <c r="G14" s="14"/>
    </row>
    <row r="15" customFormat="false" ht="15" hidden="false" customHeight="false" outlineLevel="0" collapsed="false">
      <c r="A15" s="16" t="s">
        <v>247</v>
      </c>
      <c r="B15" s="16"/>
      <c r="C15" s="16"/>
      <c r="D15" s="16"/>
      <c r="E15" s="17" t="n">
        <f aca="false">SUM(E8:E14)</f>
        <v>0</v>
      </c>
      <c r="F15" s="18"/>
      <c r="G15" s="18"/>
    </row>
    <row r="17" customFormat="false" ht="15" hidden="false" customHeight="true" outlineLevel="0" collapsed="false">
      <c r="A17" s="11" t="s">
        <v>248</v>
      </c>
      <c r="B17" s="11"/>
      <c r="C17" s="11"/>
      <c r="D17" s="11"/>
      <c r="E17" s="11"/>
      <c r="F17" s="11"/>
      <c r="G17" s="11"/>
    </row>
    <row r="18" customFormat="false" ht="15" hidden="false" customHeight="true" outlineLevel="0" collapsed="false">
      <c r="B18" s="10" t="s">
        <v>249</v>
      </c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12" t="s">
        <v>250</v>
      </c>
      <c r="B19" s="13" t="s">
        <v>239</v>
      </c>
      <c r="C19" s="14" t="s">
        <v>251</v>
      </c>
      <c r="D19" s="14"/>
      <c r="E19" s="15"/>
      <c r="F19" s="12"/>
      <c r="G19" s="14"/>
    </row>
    <row r="20" customFormat="false" ht="15" hidden="false" customHeight="false" outlineLevel="0" collapsed="false">
      <c r="A20" s="23" t="s">
        <v>252</v>
      </c>
      <c r="B20" s="24" t="s">
        <v>239</v>
      </c>
      <c r="C20" s="25" t="s">
        <v>253</v>
      </c>
      <c r="D20" s="25"/>
      <c r="E20" s="26"/>
      <c r="F20" s="23"/>
      <c r="G20" s="25"/>
    </row>
    <row r="21" customFormat="false" ht="23.85" hidden="false" customHeight="false" outlineLevel="0" collapsed="false">
      <c r="A21" s="12" t="s">
        <v>254</v>
      </c>
      <c r="B21" s="13" t="s">
        <v>239</v>
      </c>
      <c r="C21" s="14" t="s">
        <v>255</v>
      </c>
      <c r="D21" s="14"/>
      <c r="E21" s="15"/>
      <c r="F21" s="12"/>
      <c r="G21" s="14"/>
    </row>
    <row r="22" customFormat="false" ht="15" hidden="false" customHeight="false" outlineLevel="0" collapsed="false">
      <c r="A22" s="23" t="s">
        <v>256</v>
      </c>
      <c r="B22" s="24" t="s">
        <v>239</v>
      </c>
      <c r="C22" s="25" t="s">
        <v>257</v>
      </c>
      <c r="D22" s="25"/>
      <c r="E22" s="26"/>
      <c r="F22" s="23"/>
      <c r="G22" s="25"/>
    </row>
    <row r="23" customFormat="false" ht="15" hidden="false" customHeight="false" outlineLevel="0" collapsed="false">
      <c r="A23" s="12" t="s">
        <v>258</v>
      </c>
      <c r="B23" s="13" t="s">
        <v>239</v>
      </c>
      <c r="C23" s="14" t="s">
        <v>259</v>
      </c>
      <c r="D23" s="14"/>
      <c r="E23" s="15"/>
      <c r="F23" s="12"/>
      <c r="G23" s="14"/>
    </row>
    <row r="24" customFormat="false" ht="15" hidden="false" customHeight="false" outlineLevel="0" collapsed="false">
      <c r="A24" s="16" t="s">
        <v>247</v>
      </c>
      <c r="B24" s="16"/>
      <c r="C24" s="16"/>
      <c r="D24" s="16"/>
      <c r="E24" s="17" t="n">
        <f aca="false">SUM(E19:E23)</f>
        <v>0</v>
      </c>
      <c r="F24" s="18"/>
      <c r="G24" s="18"/>
    </row>
    <row r="26" customFormat="false" ht="15" hidden="false" customHeight="true" outlineLevel="0" collapsed="false">
      <c r="A26" s="11" t="s">
        <v>260</v>
      </c>
      <c r="B26" s="11"/>
      <c r="C26" s="11"/>
      <c r="D26" s="11"/>
      <c r="E26" s="11"/>
      <c r="F26" s="11"/>
      <c r="G26" s="11"/>
    </row>
    <row r="27" customFormat="false" ht="15" hidden="false" customHeight="true" outlineLevel="0" collapsed="false">
      <c r="B27" s="10" t="s">
        <v>261</v>
      </c>
      <c r="C27" s="10"/>
      <c r="D27" s="10"/>
      <c r="E27" s="10"/>
      <c r="F27" s="10"/>
      <c r="G27" s="10"/>
    </row>
    <row r="28" customFormat="false" ht="15" hidden="false" customHeight="false" outlineLevel="0" collapsed="false">
      <c r="A28" s="12" t="s">
        <v>262</v>
      </c>
      <c r="B28" s="13" t="s">
        <v>263</v>
      </c>
      <c r="C28" s="14" t="s">
        <v>251</v>
      </c>
      <c r="D28" s="14"/>
      <c r="E28" s="15"/>
      <c r="F28" s="12"/>
      <c r="G28" s="14"/>
    </row>
    <row r="29" customFormat="false" ht="15" hidden="false" customHeight="false" outlineLevel="0" collapsed="false">
      <c r="A29" s="23" t="s">
        <v>264</v>
      </c>
      <c r="B29" s="24" t="s">
        <v>263</v>
      </c>
      <c r="C29" s="25" t="s">
        <v>265</v>
      </c>
      <c r="D29" s="25"/>
      <c r="E29" s="26"/>
      <c r="F29" s="23"/>
      <c r="G29" s="25"/>
    </row>
    <row r="30" customFormat="false" ht="15" hidden="false" customHeight="false" outlineLevel="0" collapsed="false">
      <c r="A30" s="12" t="s">
        <v>266</v>
      </c>
      <c r="B30" s="13" t="s">
        <v>263</v>
      </c>
      <c r="C30" s="14" t="s">
        <v>267</v>
      </c>
      <c r="D30" s="14"/>
      <c r="E30" s="15"/>
      <c r="F30" s="12"/>
      <c r="G30" s="14"/>
    </row>
    <row r="31" customFormat="false" ht="23.85" hidden="false" customHeight="false" outlineLevel="0" collapsed="false">
      <c r="A31" s="23" t="s">
        <v>268</v>
      </c>
      <c r="B31" s="24" t="s">
        <v>263</v>
      </c>
      <c r="C31" s="25" t="s">
        <v>269</v>
      </c>
      <c r="D31" s="25"/>
      <c r="E31" s="26"/>
      <c r="F31" s="23"/>
      <c r="G31" s="25"/>
    </row>
    <row r="32" customFormat="false" ht="23.85" hidden="false" customHeight="false" outlineLevel="0" collapsed="false">
      <c r="A32" s="12" t="s">
        <v>270</v>
      </c>
      <c r="B32" s="13" t="s">
        <v>263</v>
      </c>
      <c r="C32" s="14" t="s">
        <v>271</v>
      </c>
      <c r="D32" s="14"/>
      <c r="E32" s="15"/>
      <c r="F32" s="12"/>
      <c r="G32" s="14"/>
    </row>
    <row r="33" customFormat="false" ht="15" hidden="false" customHeight="false" outlineLevel="0" collapsed="false">
      <c r="A33" s="23" t="s">
        <v>272</v>
      </c>
      <c r="B33" s="24" t="s">
        <v>263</v>
      </c>
      <c r="C33" s="25" t="s">
        <v>273</v>
      </c>
      <c r="D33" s="25"/>
      <c r="E33" s="26"/>
      <c r="F33" s="23"/>
      <c r="G33" s="25"/>
    </row>
    <row r="34" customFormat="false" ht="15" hidden="false" customHeight="false" outlineLevel="0" collapsed="false">
      <c r="A34" s="16" t="s">
        <v>274</v>
      </c>
      <c r="B34" s="16"/>
      <c r="C34" s="16"/>
      <c r="D34" s="16"/>
      <c r="E34" s="17" t="n">
        <f aca="false">SUM(E28:E33)</f>
        <v>0</v>
      </c>
      <c r="F34" s="18"/>
      <c r="G34" s="18"/>
    </row>
    <row r="36" customFormat="false" ht="15" hidden="false" customHeight="true" outlineLevel="0" collapsed="false">
      <c r="A36" s="11" t="s">
        <v>275</v>
      </c>
      <c r="B36" s="11"/>
      <c r="C36" s="11"/>
      <c r="D36" s="11"/>
      <c r="E36" s="11"/>
      <c r="F36" s="11"/>
      <c r="G36" s="11"/>
    </row>
    <row r="37" customFormat="false" ht="15" hidden="false" customHeight="true" outlineLevel="0" collapsed="false">
      <c r="B37" s="10" t="s">
        <v>276</v>
      </c>
      <c r="C37" s="10"/>
      <c r="D37" s="10"/>
      <c r="E37" s="10"/>
      <c r="F37" s="10"/>
      <c r="G37" s="10"/>
    </row>
    <row r="38" customFormat="false" ht="15" hidden="false" customHeight="false" outlineLevel="0" collapsed="false">
      <c r="A38" s="12" t="s">
        <v>277</v>
      </c>
      <c r="B38" s="13" t="s">
        <v>278</v>
      </c>
      <c r="C38" s="14" t="s">
        <v>251</v>
      </c>
      <c r="D38" s="14"/>
      <c r="E38" s="15"/>
      <c r="F38" s="12"/>
      <c r="G38" s="14"/>
    </row>
    <row r="39" customFormat="false" ht="23.85" hidden="false" customHeight="false" outlineLevel="0" collapsed="false">
      <c r="A39" s="23" t="s">
        <v>279</v>
      </c>
      <c r="B39" s="24" t="s">
        <v>278</v>
      </c>
      <c r="C39" s="25" t="s">
        <v>280</v>
      </c>
      <c r="D39" s="25"/>
      <c r="E39" s="26"/>
      <c r="F39" s="23"/>
      <c r="G39" s="25"/>
    </row>
    <row r="40" customFormat="false" ht="15" hidden="false" customHeight="false" outlineLevel="0" collapsed="false">
      <c r="A40" s="12" t="s">
        <v>281</v>
      </c>
      <c r="B40" s="13" t="s">
        <v>278</v>
      </c>
      <c r="C40" s="14" t="s">
        <v>282</v>
      </c>
      <c r="D40" s="14"/>
      <c r="E40" s="15"/>
      <c r="F40" s="12"/>
      <c r="G40" s="14"/>
    </row>
    <row r="41" customFormat="false" ht="15" hidden="false" customHeight="false" outlineLevel="0" collapsed="false">
      <c r="A41" s="23" t="s">
        <v>283</v>
      </c>
      <c r="B41" s="24" t="s">
        <v>278</v>
      </c>
      <c r="C41" s="25" t="s">
        <v>284</v>
      </c>
      <c r="D41" s="25"/>
      <c r="E41" s="26"/>
      <c r="F41" s="23"/>
      <c r="G41" s="25"/>
    </row>
    <row r="42" customFormat="false" ht="15" hidden="false" customHeight="false" outlineLevel="0" collapsed="false">
      <c r="A42" s="12" t="s">
        <v>285</v>
      </c>
      <c r="B42" s="13" t="s">
        <v>278</v>
      </c>
      <c r="C42" s="14" t="s">
        <v>286</v>
      </c>
      <c r="D42" s="14"/>
      <c r="E42" s="15"/>
      <c r="F42" s="12"/>
      <c r="G42" s="14"/>
    </row>
    <row r="43" customFormat="false" ht="15" hidden="false" customHeight="false" outlineLevel="0" collapsed="false">
      <c r="A43" s="16" t="s">
        <v>287</v>
      </c>
      <c r="B43" s="16"/>
      <c r="C43" s="16"/>
      <c r="D43" s="16"/>
      <c r="E43" s="17" t="n">
        <f aca="false">SUM(E38:E42)</f>
        <v>0</v>
      </c>
      <c r="F43" s="18"/>
      <c r="G43" s="18"/>
    </row>
    <row r="45" customFormat="false" ht="15" hidden="false" customHeight="true" outlineLevel="0" collapsed="false">
      <c r="A45" s="11" t="s">
        <v>288</v>
      </c>
      <c r="B45" s="11"/>
      <c r="C45" s="11"/>
      <c r="D45" s="11"/>
      <c r="E45" s="11"/>
      <c r="F45" s="11"/>
      <c r="G45" s="11"/>
    </row>
    <row r="46" customFormat="false" ht="15" hidden="false" customHeight="true" outlineLevel="0" collapsed="false">
      <c r="B46" s="10" t="s">
        <v>289</v>
      </c>
      <c r="C46" s="10"/>
      <c r="D46" s="10"/>
      <c r="E46" s="10"/>
      <c r="F46" s="10"/>
      <c r="G46" s="10"/>
    </row>
    <row r="47" customFormat="false" ht="15" hidden="false" customHeight="false" outlineLevel="0" collapsed="false">
      <c r="A47" s="12" t="s">
        <v>290</v>
      </c>
      <c r="B47" s="13" t="s">
        <v>291</v>
      </c>
      <c r="C47" s="14" t="s">
        <v>251</v>
      </c>
      <c r="D47" s="14"/>
      <c r="E47" s="15"/>
      <c r="F47" s="12"/>
      <c r="G47" s="14"/>
    </row>
    <row r="48" customFormat="false" ht="15" hidden="false" customHeight="false" outlineLevel="0" collapsed="false">
      <c r="A48" s="23" t="s">
        <v>292</v>
      </c>
      <c r="B48" s="24" t="s">
        <v>291</v>
      </c>
      <c r="C48" s="25" t="s">
        <v>293</v>
      </c>
      <c r="D48" s="25"/>
      <c r="E48" s="26"/>
      <c r="F48" s="23"/>
      <c r="G48" s="25"/>
    </row>
    <row r="49" customFormat="false" ht="15" hidden="false" customHeight="false" outlineLevel="0" collapsed="false">
      <c r="A49" s="12" t="s">
        <v>294</v>
      </c>
      <c r="B49" s="13" t="s">
        <v>291</v>
      </c>
      <c r="C49" s="14" t="s">
        <v>282</v>
      </c>
      <c r="D49" s="14"/>
      <c r="E49" s="15"/>
      <c r="F49" s="12"/>
      <c r="G49" s="14"/>
    </row>
    <row r="50" customFormat="false" ht="15" hidden="false" customHeight="false" outlineLevel="0" collapsed="false">
      <c r="A50" s="23" t="s">
        <v>295</v>
      </c>
      <c r="B50" s="24" t="s">
        <v>291</v>
      </c>
      <c r="C50" s="25" t="s">
        <v>296</v>
      </c>
      <c r="D50" s="25"/>
      <c r="E50" s="26"/>
      <c r="F50" s="23"/>
      <c r="G50" s="25"/>
    </row>
    <row r="51" customFormat="false" ht="15" hidden="false" customHeight="false" outlineLevel="0" collapsed="false">
      <c r="A51" s="16" t="s">
        <v>297</v>
      </c>
      <c r="B51" s="16"/>
      <c r="C51" s="16"/>
      <c r="D51" s="16"/>
      <c r="E51" s="17" t="n">
        <f aca="false">SUM(E47:E50)</f>
        <v>0</v>
      </c>
      <c r="F51" s="18"/>
      <c r="G51" s="18"/>
    </row>
    <row r="53" customFormat="false" ht="15" hidden="false" customHeight="true" outlineLevel="0" collapsed="false">
      <c r="A53" s="11" t="s">
        <v>298</v>
      </c>
      <c r="B53" s="11"/>
      <c r="C53" s="11"/>
      <c r="D53" s="11"/>
      <c r="E53" s="11"/>
      <c r="F53" s="11"/>
      <c r="G53" s="11"/>
    </row>
    <row r="54" customFormat="false" ht="15" hidden="false" customHeight="true" outlineLevel="0" collapsed="false">
      <c r="B54" s="10" t="s">
        <v>299</v>
      </c>
      <c r="C54" s="10"/>
      <c r="D54" s="10"/>
      <c r="E54" s="10"/>
      <c r="F54" s="10"/>
      <c r="G54" s="10"/>
    </row>
    <row r="55" customFormat="false" ht="15" hidden="false" customHeight="false" outlineLevel="0" collapsed="false">
      <c r="A55" s="12" t="s">
        <v>300</v>
      </c>
      <c r="B55" s="13" t="s">
        <v>301</v>
      </c>
      <c r="C55" s="14" t="s">
        <v>251</v>
      </c>
      <c r="D55" s="14"/>
      <c r="E55" s="15"/>
      <c r="F55" s="12"/>
      <c r="G55" s="14"/>
    </row>
    <row r="56" customFormat="false" ht="15" hidden="false" customHeight="false" outlineLevel="0" collapsed="false">
      <c r="A56" s="23" t="s">
        <v>302</v>
      </c>
      <c r="B56" s="24" t="s">
        <v>301</v>
      </c>
      <c r="C56" s="25" t="s">
        <v>303</v>
      </c>
      <c r="D56" s="25"/>
      <c r="E56" s="26"/>
      <c r="F56" s="23"/>
      <c r="G56" s="25"/>
    </row>
    <row r="57" customFormat="false" ht="15" hidden="false" customHeight="false" outlineLevel="0" collapsed="false">
      <c r="A57" s="12" t="s">
        <v>304</v>
      </c>
      <c r="B57" s="13" t="s">
        <v>301</v>
      </c>
      <c r="C57" s="14" t="s">
        <v>305</v>
      </c>
      <c r="D57" s="14"/>
      <c r="E57" s="15"/>
      <c r="F57" s="12"/>
      <c r="G57" s="14"/>
    </row>
    <row r="58" customFormat="false" ht="15" hidden="false" customHeight="false" outlineLevel="0" collapsed="false">
      <c r="A58" s="16" t="s">
        <v>306</v>
      </c>
      <c r="B58" s="16"/>
      <c r="C58" s="16"/>
      <c r="D58" s="16"/>
      <c r="E58" s="17" t="n">
        <f aca="false">SUM(E55:E57)</f>
        <v>0</v>
      </c>
      <c r="F58" s="18"/>
      <c r="G58" s="18"/>
    </row>
    <row r="60" customFormat="false" ht="15" hidden="false" customHeight="true" outlineLevel="0" collapsed="false">
      <c r="A60" s="11" t="s">
        <v>307</v>
      </c>
      <c r="B60" s="11"/>
      <c r="C60" s="11"/>
      <c r="D60" s="11"/>
      <c r="E60" s="11"/>
      <c r="F60" s="11"/>
      <c r="G60" s="11"/>
    </row>
    <row r="61" customFormat="false" ht="15" hidden="false" customHeight="true" outlineLevel="0" collapsed="false">
      <c r="B61" s="10" t="s">
        <v>308</v>
      </c>
      <c r="C61" s="10"/>
      <c r="D61" s="10"/>
      <c r="E61" s="10"/>
      <c r="F61" s="10"/>
      <c r="G61" s="10"/>
    </row>
    <row r="62" customFormat="false" ht="15" hidden="false" customHeight="false" outlineLevel="0" collapsed="false">
      <c r="A62" s="12" t="s">
        <v>309</v>
      </c>
      <c r="B62" s="13" t="s">
        <v>310</v>
      </c>
      <c r="C62" s="14" t="s">
        <v>251</v>
      </c>
      <c r="D62" s="14"/>
      <c r="E62" s="15"/>
      <c r="F62" s="12"/>
      <c r="G62" s="14"/>
    </row>
    <row r="63" customFormat="false" ht="23.85" hidden="false" customHeight="false" outlineLevel="0" collapsed="false">
      <c r="A63" s="23" t="s">
        <v>311</v>
      </c>
      <c r="B63" s="24" t="s">
        <v>310</v>
      </c>
      <c r="C63" s="25" t="s">
        <v>312</v>
      </c>
      <c r="D63" s="25"/>
      <c r="E63" s="26"/>
      <c r="F63" s="23"/>
      <c r="G63" s="25"/>
    </row>
    <row r="64" customFormat="false" ht="23.85" hidden="false" customHeight="false" outlineLevel="0" collapsed="false">
      <c r="A64" s="12" t="s">
        <v>313</v>
      </c>
      <c r="B64" s="13" t="s">
        <v>310</v>
      </c>
      <c r="C64" s="14" t="s">
        <v>314</v>
      </c>
      <c r="D64" s="14"/>
      <c r="E64" s="15"/>
      <c r="F64" s="12"/>
      <c r="G64" s="14"/>
    </row>
    <row r="65" customFormat="false" ht="15" hidden="false" customHeight="false" outlineLevel="0" collapsed="false">
      <c r="A65" s="23" t="s">
        <v>315</v>
      </c>
      <c r="B65" s="24" t="s">
        <v>310</v>
      </c>
      <c r="C65" s="25" t="s">
        <v>316</v>
      </c>
      <c r="D65" s="25"/>
      <c r="E65" s="26"/>
      <c r="F65" s="23"/>
      <c r="G65" s="25"/>
    </row>
    <row r="66" customFormat="false" ht="15" hidden="false" customHeight="false" outlineLevel="0" collapsed="false">
      <c r="A66" s="12" t="s">
        <v>317</v>
      </c>
      <c r="B66" s="13" t="s">
        <v>310</v>
      </c>
      <c r="C66" s="14" t="s">
        <v>318</v>
      </c>
      <c r="D66" s="14"/>
      <c r="E66" s="15"/>
      <c r="F66" s="12"/>
      <c r="G66" s="14"/>
    </row>
    <row r="67" customFormat="false" ht="15" hidden="false" customHeight="false" outlineLevel="0" collapsed="false">
      <c r="A67" s="23" t="s">
        <v>319</v>
      </c>
      <c r="B67" s="24" t="s">
        <v>310</v>
      </c>
      <c r="C67" s="25" t="s">
        <v>320</v>
      </c>
      <c r="D67" s="25"/>
      <c r="E67" s="26"/>
      <c r="F67" s="23"/>
      <c r="G67" s="25"/>
    </row>
    <row r="68" customFormat="false" ht="15" hidden="false" customHeight="false" outlineLevel="0" collapsed="false">
      <c r="A68" s="12" t="s">
        <v>321</v>
      </c>
      <c r="B68" s="13" t="s">
        <v>310</v>
      </c>
      <c r="C68" s="14" t="s">
        <v>322</v>
      </c>
      <c r="D68" s="14"/>
      <c r="E68" s="15"/>
      <c r="F68" s="12"/>
      <c r="G68" s="14"/>
    </row>
    <row r="69" customFormat="false" ht="15" hidden="false" customHeight="false" outlineLevel="0" collapsed="false">
      <c r="A69" s="16" t="s">
        <v>323</v>
      </c>
      <c r="B69" s="16"/>
      <c r="C69" s="16"/>
      <c r="D69" s="16"/>
      <c r="E69" s="17" t="n">
        <f aca="false">SUM(E62:E68)</f>
        <v>0</v>
      </c>
      <c r="F69" s="18"/>
      <c r="G69" s="18"/>
    </row>
    <row r="71" customFormat="false" ht="15" hidden="false" customHeight="true" outlineLevel="0" collapsed="false">
      <c r="A71" s="11" t="s">
        <v>324</v>
      </c>
      <c r="B71" s="11"/>
      <c r="C71" s="11"/>
      <c r="D71" s="11"/>
      <c r="E71" s="11"/>
      <c r="F71" s="11"/>
      <c r="G71" s="11"/>
    </row>
    <row r="72" customFormat="false" ht="15" hidden="false" customHeight="true" outlineLevel="0" collapsed="false">
      <c r="B72" s="10" t="s">
        <v>325</v>
      </c>
      <c r="C72" s="10"/>
      <c r="D72" s="10"/>
      <c r="E72" s="10"/>
      <c r="F72" s="10"/>
      <c r="G72" s="10"/>
    </row>
    <row r="73" customFormat="false" ht="15" hidden="false" customHeight="false" outlineLevel="0" collapsed="false">
      <c r="A73" s="12" t="s">
        <v>326</v>
      </c>
      <c r="B73" s="13" t="s">
        <v>327</v>
      </c>
      <c r="C73" s="14" t="s">
        <v>251</v>
      </c>
      <c r="D73" s="14"/>
      <c r="E73" s="15"/>
      <c r="F73" s="12"/>
      <c r="G73" s="14"/>
    </row>
    <row r="74" customFormat="false" ht="15" hidden="false" customHeight="false" outlineLevel="0" collapsed="false">
      <c r="A74" s="23" t="s">
        <v>328</v>
      </c>
      <c r="B74" s="24" t="s">
        <v>327</v>
      </c>
      <c r="C74" s="25" t="s">
        <v>329</v>
      </c>
      <c r="D74" s="25"/>
      <c r="E74" s="26"/>
      <c r="F74" s="23"/>
      <c r="G74" s="25"/>
    </row>
    <row r="75" customFormat="false" ht="15" hidden="false" customHeight="false" outlineLevel="0" collapsed="false">
      <c r="A75" s="12" t="s">
        <v>330</v>
      </c>
      <c r="B75" s="13" t="s">
        <v>327</v>
      </c>
      <c r="C75" s="14" t="s">
        <v>331</v>
      </c>
      <c r="D75" s="14"/>
      <c r="E75" s="15"/>
      <c r="F75" s="12"/>
      <c r="G75" s="14"/>
    </row>
    <row r="76" customFormat="false" ht="15" hidden="false" customHeight="false" outlineLevel="0" collapsed="false">
      <c r="A76" s="23" t="s">
        <v>332</v>
      </c>
      <c r="B76" s="24" t="s">
        <v>327</v>
      </c>
      <c r="C76" s="25" t="s">
        <v>333</v>
      </c>
      <c r="D76" s="25"/>
      <c r="E76" s="26"/>
      <c r="F76" s="23"/>
      <c r="G76" s="25"/>
    </row>
    <row r="77" customFormat="false" ht="15" hidden="false" customHeight="false" outlineLevel="0" collapsed="false">
      <c r="A77" s="16" t="s">
        <v>334</v>
      </c>
      <c r="B77" s="16"/>
      <c r="C77" s="16"/>
      <c r="D77" s="16"/>
      <c r="E77" s="17" t="n">
        <f aca="false">SUM(E73:E76)</f>
        <v>0</v>
      </c>
      <c r="F77" s="18"/>
      <c r="G77" s="18"/>
    </row>
    <row r="79" customFormat="false" ht="15" hidden="false" customHeight="true" outlineLevel="0" collapsed="false">
      <c r="A79" s="11" t="s">
        <v>335</v>
      </c>
      <c r="B79" s="11"/>
      <c r="C79" s="11"/>
      <c r="D79" s="11"/>
      <c r="E79" s="11"/>
      <c r="F79" s="11"/>
      <c r="G79" s="11"/>
    </row>
    <row r="80" customFormat="false" ht="15" hidden="false" customHeight="true" outlineLevel="0" collapsed="false">
      <c r="B80" s="10" t="s">
        <v>336</v>
      </c>
      <c r="C80" s="10"/>
      <c r="D80" s="10"/>
      <c r="E80" s="10"/>
      <c r="F80" s="10"/>
      <c r="G80" s="10"/>
    </row>
    <row r="81" customFormat="false" ht="15" hidden="false" customHeight="false" outlineLevel="0" collapsed="false">
      <c r="A81" s="12" t="s">
        <v>337</v>
      </c>
      <c r="B81" s="13" t="s">
        <v>338</v>
      </c>
      <c r="C81" s="14" t="s">
        <v>251</v>
      </c>
      <c r="D81" s="14"/>
      <c r="E81" s="15"/>
      <c r="F81" s="12"/>
      <c r="G81" s="14"/>
    </row>
    <row r="82" customFormat="false" ht="15" hidden="false" customHeight="false" outlineLevel="0" collapsed="false">
      <c r="A82" s="23" t="s">
        <v>339</v>
      </c>
      <c r="B82" s="24" t="s">
        <v>338</v>
      </c>
      <c r="C82" s="25" t="s">
        <v>340</v>
      </c>
      <c r="D82" s="25"/>
      <c r="E82" s="26"/>
      <c r="F82" s="23"/>
      <c r="G82" s="25"/>
    </row>
    <row r="83" customFormat="false" ht="15" hidden="false" customHeight="false" outlineLevel="0" collapsed="false">
      <c r="A83" s="12" t="s">
        <v>341</v>
      </c>
      <c r="B83" s="13" t="s">
        <v>338</v>
      </c>
      <c r="C83" s="14" t="s">
        <v>342</v>
      </c>
      <c r="D83" s="14"/>
      <c r="E83" s="15"/>
      <c r="F83" s="12"/>
      <c r="G83" s="14"/>
    </row>
    <row r="84" customFormat="false" ht="15" hidden="false" customHeight="false" outlineLevel="0" collapsed="false">
      <c r="A84" s="16" t="s">
        <v>343</v>
      </c>
      <c r="B84" s="16"/>
      <c r="C84" s="16"/>
      <c r="D84" s="16"/>
      <c r="E84" s="17" t="n">
        <f aca="false">SUM(E81:E83)</f>
        <v>0</v>
      </c>
      <c r="F84" s="18"/>
      <c r="G84" s="18"/>
    </row>
    <row r="86" customFormat="false" ht="15" hidden="false" customHeight="true" outlineLevel="0" collapsed="false">
      <c r="A86" s="11" t="s">
        <v>344</v>
      </c>
      <c r="B86" s="11"/>
      <c r="C86" s="11"/>
      <c r="D86" s="11"/>
      <c r="E86" s="11"/>
      <c r="F86" s="11"/>
      <c r="G86" s="11"/>
    </row>
    <row r="87" customFormat="false" ht="15" hidden="false" customHeight="true" outlineLevel="0" collapsed="false">
      <c r="B87" s="10" t="s">
        <v>345</v>
      </c>
      <c r="C87" s="10"/>
      <c r="D87" s="10"/>
      <c r="E87" s="10"/>
      <c r="F87" s="10"/>
      <c r="G87" s="10"/>
    </row>
    <row r="88" customFormat="false" ht="15" hidden="false" customHeight="false" outlineLevel="0" collapsed="false">
      <c r="A88" s="12" t="s">
        <v>346</v>
      </c>
      <c r="B88" s="13" t="s">
        <v>347</v>
      </c>
      <c r="C88" s="14" t="s">
        <v>251</v>
      </c>
      <c r="D88" s="14"/>
      <c r="E88" s="15"/>
      <c r="F88" s="12"/>
      <c r="G88" s="14"/>
    </row>
    <row r="89" customFormat="false" ht="15" hidden="false" customHeight="false" outlineLevel="0" collapsed="false">
      <c r="A89" s="23" t="s">
        <v>348</v>
      </c>
      <c r="B89" s="24" t="s">
        <v>347</v>
      </c>
      <c r="C89" s="25" t="s">
        <v>349</v>
      </c>
      <c r="D89" s="25"/>
      <c r="E89" s="26"/>
      <c r="F89" s="23"/>
      <c r="G89" s="25"/>
    </row>
    <row r="90" customFormat="false" ht="15" hidden="false" customHeight="false" outlineLevel="0" collapsed="false">
      <c r="A90" s="12" t="s">
        <v>350</v>
      </c>
      <c r="B90" s="13" t="s">
        <v>347</v>
      </c>
      <c r="C90" s="14" t="s">
        <v>351</v>
      </c>
      <c r="D90" s="14"/>
      <c r="E90" s="15"/>
      <c r="F90" s="12"/>
      <c r="G90" s="14"/>
    </row>
    <row r="91" customFormat="false" ht="15" hidden="false" customHeight="false" outlineLevel="0" collapsed="false">
      <c r="A91" s="23" t="s">
        <v>352</v>
      </c>
      <c r="B91" s="24" t="s">
        <v>347</v>
      </c>
      <c r="C91" s="25" t="s">
        <v>353</v>
      </c>
      <c r="D91" s="25"/>
      <c r="E91" s="26"/>
      <c r="F91" s="23"/>
      <c r="G91" s="25"/>
    </row>
    <row r="92" customFormat="false" ht="15" hidden="false" customHeight="false" outlineLevel="0" collapsed="false">
      <c r="A92" s="16" t="s">
        <v>354</v>
      </c>
      <c r="B92" s="16"/>
      <c r="C92" s="16"/>
      <c r="D92" s="16"/>
      <c r="E92" s="17" t="n">
        <f aca="false">SUM(E88:E91)</f>
        <v>0</v>
      </c>
      <c r="F92" s="18"/>
      <c r="G92" s="18"/>
    </row>
    <row r="100" customFormat="false" ht="15" hidden="false" customHeight="false" outlineLevel="0" collapsed="false">
      <c r="A100" s="19" t="s">
        <v>355</v>
      </c>
      <c r="B100" s="19"/>
      <c r="C100" s="19"/>
      <c r="D100" s="19"/>
      <c r="E100" s="20" t="n">
        <f aca="false">SUM(E6:E99)</f>
        <v>0</v>
      </c>
      <c r="F100" s="21"/>
      <c r="G100" s="21"/>
    </row>
  </sheetData>
  <mergeCells count="34">
    <mergeCell ref="A1:G1"/>
    <mergeCell ref="A2:G2"/>
    <mergeCell ref="A3:G3"/>
    <mergeCell ref="A6:G6"/>
    <mergeCell ref="B7:G7"/>
    <mergeCell ref="A15:D15"/>
    <mergeCell ref="A17:G17"/>
    <mergeCell ref="B18:G18"/>
    <mergeCell ref="A24:D24"/>
    <mergeCell ref="A26:G26"/>
    <mergeCell ref="B27:G27"/>
    <mergeCell ref="A34:D34"/>
    <mergeCell ref="A36:G36"/>
    <mergeCell ref="B37:G37"/>
    <mergeCell ref="A43:D43"/>
    <mergeCell ref="A45:G45"/>
    <mergeCell ref="B46:G46"/>
    <mergeCell ref="A51:D51"/>
    <mergeCell ref="A53:G53"/>
    <mergeCell ref="B54:G54"/>
    <mergeCell ref="A58:D58"/>
    <mergeCell ref="A60:G60"/>
    <mergeCell ref="B61:G61"/>
    <mergeCell ref="A69:D69"/>
    <mergeCell ref="A71:G71"/>
    <mergeCell ref="B72:G72"/>
    <mergeCell ref="A77:D77"/>
    <mergeCell ref="A79:G79"/>
    <mergeCell ref="B80:G80"/>
    <mergeCell ref="A84:D84"/>
    <mergeCell ref="A86:G86"/>
    <mergeCell ref="B87:G87"/>
    <mergeCell ref="A92:D92"/>
    <mergeCell ref="A100:D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3E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6" min="5" style="0" width="12"/>
    <col collapsed="false" customWidth="true" hidden="false" outlineLevel="0" max="7" min="7" style="0" width="45"/>
  </cols>
  <sheetData>
    <row r="1" customFormat="false" ht="18.65" hidden="false" customHeight="true" outlineLevel="0" collapsed="false">
      <c r="A1" s="1" t="s">
        <v>356</v>
      </c>
      <c r="B1" s="1"/>
      <c r="C1" s="1"/>
      <c r="D1" s="1"/>
      <c r="E1" s="1"/>
      <c r="F1" s="1"/>
      <c r="G1" s="1"/>
    </row>
    <row r="3" customFormat="false" ht="23.85" hidden="false" customHeight="false" outlineLevel="0" collapsed="false">
      <c r="A3" s="3" t="s">
        <v>62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</row>
    <row r="4" customFormat="false" ht="23.85" hidden="false" customHeight="false" outlineLevel="0" collapsed="false">
      <c r="A4" s="12" t="n">
        <v>1</v>
      </c>
      <c r="B4" s="13" t="s">
        <v>357</v>
      </c>
      <c r="C4" s="14" t="s">
        <v>358</v>
      </c>
      <c r="D4" s="14" t="s">
        <v>359</v>
      </c>
      <c r="E4" s="15"/>
      <c r="F4" s="12"/>
      <c r="G4" s="14" t="s">
        <v>360</v>
      </c>
    </row>
    <row r="5" customFormat="false" ht="23.85" hidden="false" customHeight="false" outlineLevel="0" collapsed="false">
      <c r="A5" s="23" t="n">
        <v>2</v>
      </c>
      <c r="B5" s="24" t="s">
        <v>357</v>
      </c>
      <c r="C5" s="25" t="s">
        <v>361</v>
      </c>
      <c r="D5" s="25" t="s">
        <v>362</v>
      </c>
      <c r="E5" s="26"/>
      <c r="F5" s="23"/>
      <c r="G5" s="25" t="s">
        <v>363</v>
      </c>
    </row>
    <row r="6" customFormat="false" ht="23.85" hidden="false" customHeight="false" outlineLevel="0" collapsed="false">
      <c r="A6" s="12" t="n">
        <v>3</v>
      </c>
      <c r="B6" s="13" t="s">
        <v>357</v>
      </c>
      <c r="C6" s="14" t="s">
        <v>364</v>
      </c>
      <c r="D6" s="14" t="s">
        <v>365</v>
      </c>
      <c r="E6" s="15"/>
      <c r="F6" s="12"/>
      <c r="G6" s="14" t="s">
        <v>366</v>
      </c>
    </row>
    <row r="7" customFormat="false" ht="23.85" hidden="false" customHeight="false" outlineLevel="0" collapsed="false">
      <c r="A7" s="23" t="n">
        <v>4</v>
      </c>
      <c r="B7" s="24" t="s">
        <v>357</v>
      </c>
      <c r="C7" s="25" t="s">
        <v>367</v>
      </c>
      <c r="D7" s="25" t="s">
        <v>368</v>
      </c>
      <c r="E7" s="26"/>
      <c r="F7" s="23"/>
      <c r="G7" s="25" t="s">
        <v>369</v>
      </c>
    </row>
    <row r="8" customFormat="false" ht="23.85" hidden="false" customHeight="false" outlineLevel="0" collapsed="false">
      <c r="A8" s="12" t="n">
        <v>5</v>
      </c>
      <c r="B8" s="13" t="s">
        <v>357</v>
      </c>
      <c r="C8" s="14" t="s">
        <v>370</v>
      </c>
      <c r="D8" s="14" t="s">
        <v>371</v>
      </c>
      <c r="E8" s="15"/>
      <c r="F8" s="12"/>
      <c r="G8" s="14" t="s">
        <v>372</v>
      </c>
    </row>
    <row r="9" customFormat="false" ht="23.85" hidden="false" customHeight="false" outlineLevel="0" collapsed="false">
      <c r="A9" s="23" t="n">
        <v>6</v>
      </c>
      <c r="B9" s="24" t="s">
        <v>373</v>
      </c>
      <c r="C9" s="25" t="s">
        <v>374</v>
      </c>
      <c r="D9" s="25" t="s">
        <v>375</v>
      </c>
      <c r="E9" s="26"/>
      <c r="F9" s="23"/>
      <c r="G9" s="25" t="s">
        <v>376</v>
      </c>
    </row>
    <row r="10" customFormat="false" ht="23.85" hidden="false" customHeight="false" outlineLevel="0" collapsed="false">
      <c r="A10" s="12" t="n">
        <v>7</v>
      </c>
      <c r="B10" s="13" t="s">
        <v>373</v>
      </c>
      <c r="C10" s="14" t="s">
        <v>377</v>
      </c>
      <c r="D10" s="14" t="s">
        <v>378</v>
      </c>
      <c r="E10" s="15"/>
      <c r="F10" s="12"/>
      <c r="G10" s="14"/>
    </row>
    <row r="11" customFormat="false" ht="23.85" hidden="false" customHeight="false" outlineLevel="0" collapsed="false">
      <c r="A11" s="23" t="n">
        <v>8</v>
      </c>
      <c r="B11" s="24" t="s">
        <v>373</v>
      </c>
      <c r="C11" s="25" t="s">
        <v>379</v>
      </c>
      <c r="D11" s="25" t="s">
        <v>380</v>
      </c>
      <c r="E11" s="26"/>
      <c r="F11" s="23"/>
      <c r="G11" s="25" t="s">
        <v>381</v>
      </c>
    </row>
    <row r="12" customFormat="false" ht="15" hidden="false" customHeight="false" outlineLevel="0" collapsed="false">
      <c r="A12" s="12" t="n">
        <v>9</v>
      </c>
      <c r="B12" s="13" t="s">
        <v>373</v>
      </c>
      <c r="C12" s="14" t="s">
        <v>382</v>
      </c>
      <c r="D12" s="14" t="s">
        <v>383</v>
      </c>
      <c r="E12" s="15"/>
      <c r="F12" s="12"/>
      <c r="G12" s="14"/>
    </row>
    <row r="13" customFormat="false" ht="15" hidden="false" customHeight="false" outlineLevel="0" collapsed="false">
      <c r="A13" s="23" t="n">
        <v>10</v>
      </c>
      <c r="B13" s="24" t="s">
        <v>373</v>
      </c>
      <c r="C13" s="25" t="s">
        <v>384</v>
      </c>
      <c r="D13" s="25" t="s">
        <v>385</v>
      </c>
      <c r="E13" s="26"/>
      <c r="F13" s="23"/>
      <c r="G13" s="25"/>
    </row>
    <row r="14" customFormat="false" ht="15" hidden="false" customHeight="false" outlineLevel="0" collapsed="false">
      <c r="A14" s="12" t="n">
        <v>11</v>
      </c>
      <c r="B14" s="13" t="s">
        <v>373</v>
      </c>
      <c r="C14" s="14" t="s">
        <v>386</v>
      </c>
      <c r="D14" s="14" t="s">
        <v>387</v>
      </c>
      <c r="E14" s="15"/>
      <c r="F14" s="12"/>
      <c r="G14" s="14"/>
    </row>
    <row r="15" customFormat="false" ht="23.85" hidden="false" customHeight="false" outlineLevel="0" collapsed="false">
      <c r="A15" s="23" t="n">
        <v>12</v>
      </c>
      <c r="B15" s="24" t="s">
        <v>216</v>
      </c>
      <c r="C15" s="25" t="s">
        <v>388</v>
      </c>
      <c r="D15" s="25" t="s">
        <v>389</v>
      </c>
      <c r="E15" s="26"/>
      <c r="F15" s="23"/>
      <c r="G15" s="25" t="s">
        <v>390</v>
      </c>
    </row>
    <row r="16" customFormat="false" ht="23.85" hidden="false" customHeight="false" outlineLevel="0" collapsed="false">
      <c r="A16" s="12" t="n">
        <v>13</v>
      </c>
      <c r="B16" s="13" t="s">
        <v>216</v>
      </c>
      <c r="C16" s="14" t="s">
        <v>391</v>
      </c>
      <c r="D16" s="14" t="s">
        <v>392</v>
      </c>
      <c r="E16" s="15"/>
      <c r="F16" s="12"/>
      <c r="G16" s="14" t="s">
        <v>393</v>
      </c>
    </row>
    <row r="17" customFormat="false" ht="23.85" hidden="false" customHeight="false" outlineLevel="0" collapsed="false">
      <c r="A17" s="23" t="n">
        <v>14</v>
      </c>
      <c r="B17" s="24" t="s">
        <v>216</v>
      </c>
      <c r="C17" s="25" t="s">
        <v>394</v>
      </c>
      <c r="D17" s="25" t="s">
        <v>395</v>
      </c>
      <c r="E17" s="26"/>
      <c r="F17" s="23"/>
      <c r="G17" s="25" t="s">
        <v>396</v>
      </c>
    </row>
    <row r="18" customFormat="false" ht="23.85" hidden="false" customHeight="false" outlineLevel="0" collapsed="false">
      <c r="A18" s="12" t="n">
        <v>15</v>
      </c>
      <c r="B18" s="13" t="s">
        <v>216</v>
      </c>
      <c r="C18" s="14" t="s">
        <v>397</v>
      </c>
      <c r="D18" s="14" t="s">
        <v>398</v>
      </c>
      <c r="E18" s="15"/>
      <c r="F18" s="12"/>
      <c r="G18" s="14" t="s">
        <v>399</v>
      </c>
    </row>
    <row r="19" customFormat="false" ht="23.85" hidden="false" customHeight="false" outlineLevel="0" collapsed="false">
      <c r="A19" s="23" t="n">
        <v>16</v>
      </c>
      <c r="B19" s="24" t="s">
        <v>216</v>
      </c>
      <c r="C19" s="25" t="s">
        <v>400</v>
      </c>
      <c r="D19" s="25" t="s">
        <v>401</v>
      </c>
      <c r="E19" s="26"/>
      <c r="F19" s="23"/>
      <c r="G19" s="25" t="s">
        <v>402</v>
      </c>
    </row>
    <row r="20" customFormat="false" ht="15" hidden="false" customHeight="false" outlineLevel="0" collapsed="false">
      <c r="A20" s="19" t="s">
        <v>403</v>
      </c>
      <c r="B20" s="19"/>
      <c r="C20" s="19"/>
      <c r="D20" s="19"/>
      <c r="E20" s="20" t="n">
        <f aca="false">SUM(E4:E19)</f>
        <v>0</v>
      </c>
      <c r="F20" s="21"/>
      <c r="G20" s="21"/>
    </row>
  </sheetData>
  <mergeCells count="2">
    <mergeCell ref="A1:G1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66"/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4" min="3" style="0" width="50"/>
  </cols>
  <sheetData>
    <row r="1" customFormat="false" ht="18.65" hidden="false" customHeight="true" outlineLevel="0" collapsed="false">
      <c r="A1" s="1" t="s">
        <v>404</v>
      </c>
      <c r="B1" s="1"/>
      <c r="C1" s="1"/>
      <c r="D1" s="1"/>
    </row>
    <row r="3" customFormat="false" ht="15" hidden="false" customHeight="false" outlineLevel="0" collapsed="false">
      <c r="A3" s="3" t="s">
        <v>2</v>
      </c>
      <c r="B3" s="3" t="s">
        <v>405</v>
      </c>
      <c r="C3" s="3" t="s">
        <v>65</v>
      </c>
      <c r="D3" s="3" t="s">
        <v>406</v>
      </c>
    </row>
    <row r="4" customFormat="false" ht="35.05" hidden="false" customHeight="false" outlineLevel="0" collapsed="false">
      <c r="A4" s="6" t="n">
        <v>1</v>
      </c>
      <c r="B4" s="27" t="s">
        <v>407</v>
      </c>
      <c r="C4" s="7" t="s">
        <v>408</v>
      </c>
      <c r="D4" s="7"/>
    </row>
    <row r="5" customFormat="false" ht="23.85" hidden="false" customHeight="false" outlineLevel="0" collapsed="false">
      <c r="A5" s="6" t="n">
        <v>2</v>
      </c>
      <c r="B5" s="27" t="s">
        <v>407</v>
      </c>
      <c r="C5" s="7" t="s">
        <v>409</v>
      </c>
      <c r="D5" s="7"/>
    </row>
    <row r="6" customFormat="false" ht="23.85" hidden="false" customHeight="false" outlineLevel="0" collapsed="false">
      <c r="A6" s="6" t="n">
        <v>3</v>
      </c>
      <c r="B6" s="27" t="s">
        <v>407</v>
      </c>
      <c r="C6" s="7" t="s">
        <v>410</v>
      </c>
      <c r="D6" s="7"/>
    </row>
    <row r="7" customFormat="false" ht="23.85" hidden="false" customHeight="false" outlineLevel="0" collapsed="false">
      <c r="A7" s="6" t="n">
        <v>4</v>
      </c>
      <c r="B7" s="27" t="s">
        <v>407</v>
      </c>
      <c r="C7" s="7" t="s">
        <v>411</v>
      </c>
      <c r="D7" s="7"/>
    </row>
    <row r="8" customFormat="false" ht="23.85" hidden="false" customHeight="false" outlineLevel="0" collapsed="false">
      <c r="A8" s="6" t="n">
        <v>5</v>
      </c>
      <c r="B8" s="27" t="s">
        <v>407</v>
      </c>
      <c r="C8" s="7" t="s">
        <v>412</v>
      </c>
      <c r="D8" s="7"/>
    </row>
    <row r="9" customFormat="false" ht="35.05" hidden="false" customHeight="false" outlineLevel="0" collapsed="false">
      <c r="A9" s="6" t="n">
        <v>6</v>
      </c>
      <c r="B9" s="27" t="s">
        <v>407</v>
      </c>
      <c r="C9" s="7" t="s">
        <v>413</v>
      </c>
      <c r="D9" s="7"/>
    </row>
    <row r="10" customFormat="false" ht="35.05" hidden="false" customHeight="false" outlineLevel="0" collapsed="false">
      <c r="A10" s="6" t="n">
        <v>7</v>
      </c>
      <c r="B10" s="27" t="s">
        <v>407</v>
      </c>
      <c r="C10" s="7" t="s">
        <v>414</v>
      </c>
      <c r="D10" s="7"/>
    </row>
    <row r="11" customFormat="false" ht="23.85" hidden="false" customHeight="false" outlineLevel="0" collapsed="false">
      <c r="A11" s="6" t="n">
        <v>8</v>
      </c>
      <c r="B11" s="28" t="s">
        <v>415</v>
      </c>
      <c r="C11" s="7" t="s">
        <v>416</v>
      </c>
      <c r="D11" s="7"/>
    </row>
    <row r="12" customFormat="false" ht="23.85" hidden="false" customHeight="false" outlineLevel="0" collapsed="false">
      <c r="A12" s="6" t="n">
        <v>9</v>
      </c>
      <c r="B12" s="28" t="s">
        <v>415</v>
      </c>
      <c r="C12" s="7" t="s">
        <v>417</v>
      </c>
      <c r="D12" s="7"/>
    </row>
    <row r="13" customFormat="false" ht="23.85" hidden="false" customHeight="false" outlineLevel="0" collapsed="false">
      <c r="A13" s="6" t="n">
        <v>10</v>
      </c>
      <c r="B13" s="28" t="s">
        <v>415</v>
      </c>
      <c r="C13" s="7" t="s">
        <v>418</v>
      </c>
      <c r="D13" s="7"/>
    </row>
    <row r="14" customFormat="false" ht="23.85" hidden="false" customHeight="false" outlineLevel="0" collapsed="false">
      <c r="A14" s="6" t="n">
        <v>11</v>
      </c>
      <c r="B14" s="29" t="s">
        <v>419</v>
      </c>
      <c r="C14" s="7" t="s">
        <v>420</v>
      </c>
      <c r="D14" s="7"/>
    </row>
    <row r="15" customFormat="false" ht="35.05" hidden="false" customHeight="false" outlineLevel="0" collapsed="false">
      <c r="A15" s="6" t="n">
        <v>12</v>
      </c>
      <c r="B15" s="29" t="s">
        <v>419</v>
      </c>
      <c r="C15" s="7" t="s">
        <v>421</v>
      </c>
      <c r="D15" s="7"/>
    </row>
    <row r="16" customFormat="false" ht="35.05" hidden="false" customHeight="false" outlineLevel="0" collapsed="false">
      <c r="A16" s="6" t="n">
        <v>13</v>
      </c>
      <c r="B16" s="29" t="s">
        <v>419</v>
      </c>
      <c r="C16" s="7" t="s">
        <v>422</v>
      </c>
      <c r="D16" s="7"/>
    </row>
    <row r="17" customFormat="false" ht="23.85" hidden="false" customHeight="false" outlineLevel="0" collapsed="false">
      <c r="A17" s="6" t="n">
        <v>14</v>
      </c>
      <c r="B17" s="29" t="s">
        <v>419</v>
      </c>
      <c r="C17" s="7" t="s">
        <v>423</v>
      </c>
      <c r="D17" s="7"/>
    </row>
    <row r="18" customFormat="false" ht="35.05" hidden="false" customHeight="false" outlineLevel="0" collapsed="false">
      <c r="A18" s="6" t="n">
        <v>15</v>
      </c>
      <c r="B18" s="29" t="s">
        <v>419</v>
      </c>
      <c r="C18" s="7" t="s">
        <v>424</v>
      </c>
      <c r="D18" s="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2026-04-10T07:08:58Z</dcterms:created>
  <dc:creator>openpyxl</dc:creator>
  <dc:description/>
  <dc:language>en-US</dc:language>
  <cp:lastModifiedBy/>
  <dcterms:modified xsi:type="dcterms:W3CDTF">2026-04-10T07:08:58Z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